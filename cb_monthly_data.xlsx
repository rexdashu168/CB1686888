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本月摘要" sheetId="1" state="visible" r:id="rId1"/>
    <sheet xmlns:r="http://schemas.openxmlformats.org/officeDocument/2006/relationships" name="🔴 創新高" sheetId="2" state="visible" r:id="rId2"/>
    <sheet xmlns:r="http://schemas.openxmlformats.org/officeDocument/2006/relationships" name="🟢 創新低" sheetId="3" state="visible" r:id="rId3"/>
    <sheet xmlns:r="http://schemas.openxmlformats.org/officeDocument/2006/relationships" name="🎯 一鍵查詢" sheetId="4" state="visible" r:id="rId4"/>
    <sheet xmlns:r="http://schemas.openxmlformats.org/officeDocument/2006/relationships" name="🔧 DIY 自組查詢" sheetId="5" state="visible" r:id="rId5"/>
    <sheet xmlns:r="http://schemas.openxmlformats.org/officeDocument/2006/relationships" name="對應表" sheetId="6" state="veryHidden" r:id="rId6"/>
    <sheet xmlns:r="http://schemas.openxmlformats.org/officeDocument/2006/relationships" name="CB歷年最高最低價" sheetId="7" state="veryHidden" r:id="rId7"/>
  </sheets>
  <definedNames>
    <definedName name="_xlnm.Print_Area" localSheetId="3">'🎯 一鍵查詢'!$B$2:$K$38</definedName>
    <definedName name="_xlnm.Print_Area" localSheetId="4">'🔧 DIY 自組查詢'!$B$2:$J$44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"/>
  </numFmts>
  <fonts count="40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FFFFFF"/>
      <sz val="10"/>
    </font>
    <font>
      <name val="Microsoft JhengHei"/>
      <b val="1"/>
      <color rgb="00FFFFFF"/>
      <sz val="11"/>
    </font>
    <font>
      <name val="Microsoft JhengHei"/>
      <b val="1"/>
      <color rgb="00C00000"/>
      <sz val="16"/>
    </font>
    <font>
      <name val="Microsoft JhengHei"/>
      <i val="1"/>
      <color rgb="00C00000"/>
      <sz val="10"/>
    </font>
    <font>
      <name val="Microsoft JhengHei"/>
      <b val="1"/>
      <sz val="11"/>
    </font>
    <font>
      <name val="Microsoft JhengHei"/>
      <b val="1"/>
      <color rgb="001F4E78"/>
      <sz val="20"/>
    </font>
    <font>
      <name val="Microsoft JhengHei"/>
      <sz val="11"/>
    </font>
    <font>
      <name val="Microsoft JhengHei"/>
      <b val="1"/>
      <color rgb="001F4E78"/>
      <sz val="11"/>
    </font>
    <font>
      <name val="Microsoft JhengHei"/>
      <color rgb="00595959"/>
      <sz val="10"/>
    </font>
    <font>
      <name val="Microsoft JhengHei"/>
      <b val="1"/>
      <color rgb="00C00000"/>
      <sz val="10"/>
    </font>
    <font>
      <name val="Microsoft JhengHei"/>
      <b val="1"/>
      <color rgb="00C00000"/>
      <sz val="11"/>
    </font>
    <font>
      <name val="Microsoft JhengHei"/>
      <b val="1"/>
      <color rgb="00C00000"/>
      <sz val="18"/>
    </font>
    <font>
      <name val="Microsoft JhengHei"/>
      <b val="1"/>
      <color rgb="001F4E78"/>
      <sz val="22"/>
    </font>
    <font>
      <name val="Microsoft JhengHei"/>
      <b val="1"/>
      <color rgb="00FFFFFF"/>
      <sz val="12"/>
    </font>
    <font>
      <name val="Microsoft JhengHei"/>
      <b val="1"/>
      <i val="1"/>
      <color rgb="00C00000"/>
      <sz val="10"/>
    </font>
    <font>
      <name val="Microsoft JhengHei"/>
      <b val="1"/>
      <sz val="9"/>
    </font>
    <font>
      <name val="Microsoft JhengHei"/>
      <b val="1"/>
      <color rgb="001F4E78"/>
      <sz val="12"/>
    </font>
    <font>
      <name val="Microsoft JhengHei"/>
      <b val="1"/>
      <color rgb="00FFFFFF"/>
      <sz val="9"/>
    </font>
    <font>
      <name val="Microsoft JhengHei"/>
      <b val="1"/>
      <color rgb="00006100"/>
      <sz val="10"/>
    </font>
    <font>
      <name val="Microsoft JhengHei"/>
      <b val="1"/>
      <color rgb="00006100"/>
      <sz val="11"/>
    </font>
    <font>
      <name val="Microsoft JhengHei"/>
      <b val="1"/>
      <color rgb="00C00000"/>
      <sz val="13"/>
    </font>
    <font>
      <name val="Microsoft JhengHei"/>
      <b val="1"/>
      <color rgb="00006100"/>
      <sz val="13"/>
    </font>
    <font>
      <name val="Microsoft JhengHei"/>
      <b val="1"/>
      <color rgb="00C00000"/>
      <sz val="14"/>
    </font>
    <font>
      <name val="Microsoft JhengHei"/>
      <b val="1"/>
      <color rgb="00006100"/>
      <sz val="14"/>
    </font>
    <font>
      <name val="Microsoft JhengHei"/>
      <color rgb="00808080"/>
      <sz val="9"/>
    </font>
    <font>
      <name val="Microsoft JhengHei"/>
      <b val="1"/>
      <color rgb="00C00000"/>
      <sz val="12"/>
    </font>
    <font>
      <name val="Microsoft JhengHei"/>
      <b val="1"/>
      <color rgb="00006100"/>
      <sz val="12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006100"/>
      <sz val="9"/>
    </font>
    <font>
      <name val="Microsoft JhengHei"/>
      <color rgb="00333333"/>
      <sz val="9"/>
    </font>
    <font>
      <name val="Microsoft JhengHei"/>
      <b val="1"/>
      <color rgb="00C00000"/>
      <sz val="9"/>
    </font>
    <font>
      <name val="Microsoft JhengHei"/>
      <sz val="9"/>
    </font>
    <font>
      <name val="Microsoft JhengHei"/>
      <b val="1"/>
      <color rgb="00C00000"/>
      <sz val="8"/>
    </font>
    <font>
      <name val="Microsoft JhengHei"/>
      <color rgb="00333333"/>
      <sz val="8"/>
    </font>
    <font>
      <name val="Microsoft JhengHei"/>
      <b val="1"/>
      <color rgb="00006100"/>
      <sz val="8"/>
    </font>
    <font>
      <name val="Microsoft JhengHei"/>
      <color rgb="00808080"/>
      <sz val="8"/>
    </font>
    <font>
      <name val="Microsoft JhengHei"/>
      <b val="1"/>
      <color rgb="001F4E78"/>
      <sz val="8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E699"/>
      </patternFill>
    </fill>
    <fill>
      <patternFill patternType="solid">
        <fgColor rgb="00D5E3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E8F5E9"/>
      </patternFill>
    </fill>
    <fill>
      <patternFill patternType="solid">
        <fgColor rgb="00FFF2CC"/>
      </patternFill>
    </fill>
  </fills>
  <borders count="9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medium">
        <color rgb="00C00000"/>
      </left>
      <right/>
      <top/>
      <bottom/>
      <diagonal/>
    </border>
    <border>
      <left style="medium">
        <color rgb="00C00000"/>
      </left>
      <right style="medium">
        <color rgb="00C00000"/>
      </right>
      <top/>
      <bottom/>
      <diagonal/>
    </border>
    <border>
      <left style="medium">
        <color rgb="00C00000"/>
      </left>
      <right style="medium">
        <color rgb="00C00000"/>
      </right>
      <top/>
      <bottom style="medium">
        <color rgb="00C00000"/>
      </bottom>
      <diagonal/>
    </border>
    <border>
      <left style="medium">
        <color rgb="001F4E78"/>
      </left>
      <right style="thin">
        <color rgb="00D9D9D9"/>
      </right>
      <top style="medium">
        <color rgb="001F4E78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thin">
        <color rgb="00D9D9D9"/>
      </bottom>
    </border>
    <border>
      <left style="medium">
        <color rgb="001F4E78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medium">
        <color rgb="001F4E78"/>
      </right>
      <top style="medium">
        <color rgb="001F4E78"/>
      </top>
      <bottom style="thin">
        <color rgb="00D9D9D9"/>
      </bottom>
    </border>
    <border>
      <left style="thin">
        <color rgb="00D9D9D9"/>
      </left>
      <right style="medium">
        <color rgb="001F4E78"/>
      </right>
      <top style="thin">
        <color rgb="00D9D9D9"/>
      </top>
      <bottom style="medium">
        <color rgb="001F4E78"/>
      </bottom>
    </border>
    <border>
      <left style="medium">
        <color rgb="001F4E78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1F4E78"/>
      </right>
      <top style="thin">
        <color rgb="00D9D9D9"/>
      </top>
      <bottom style="thin">
        <color rgb="00D9D9D9"/>
      </bottom>
    </border>
    <border>
      <left style="medium">
        <color rgb="001F4E78"/>
      </left>
      <right style="thin">
        <color rgb="00D9D9D9"/>
      </right>
      <top style="thin">
        <color rgb="00D9D9D9"/>
      </top>
      <bottom style="medium">
        <color rgb="005B9BD5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5B9BD5"/>
      </bottom>
    </border>
    <border>
      <left style="thin">
        <color rgb="00D9D9D9"/>
      </left>
      <right style="medium">
        <color rgb="001F4E78"/>
      </right>
      <top style="thin">
        <color rgb="00D9D9D9"/>
      </top>
      <bottom style="medium">
        <color rgb="005B9BD5"/>
      </bottom>
    </border>
    <border>
      <left style="medium">
        <color rgb="001F4E78"/>
      </left>
      <right style="thin">
        <color rgb="00D9D9D9"/>
      </right>
      <top style="medium">
        <color rgb="005B9BD5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5B9BD5"/>
      </top>
      <bottom style="thin">
        <color rgb="00D9D9D9"/>
      </bottom>
    </border>
    <border>
      <left style="thin">
        <color rgb="00D9D9D9"/>
      </left>
      <right style="medium">
        <color rgb="001F4E78"/>
      </right>
      <top style="medium">
        <color rgb="005B9BD5"/>
      </top>
      <bottom style="thin">
        <color rgb="00D9D9D9"/>
      </bottom>
    </border>
    <border>
      <left style="medium">
        <color rgb="001F4E78"/>
      </left>
      <right style="thin">
        <color rgb="00D9D9D9"/>
      </right>
      <top style="medium">
        <color rgb="005B9BD5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medium">
        <color rgb="005B9BD5"/>
      </top>
      <bottom style="medium">
        <color rgb="001F4E78"/>
      </bottom>
    </border>
    <border>
      <left style="thin">
        <color rgb="00D9D9D9"/>
      </left>
      <right style="medium">
        <color rgb="001F4E78"/>
      </right>
      <top style="medium">
        <color rgb="005B9BD5"/>
      </top>
      <bottom style="medium">
        <color rgb="001F4E78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medium">
        <color rgb="001F4E78"/>
      </bottom>
      <diagonal/>
    </border>
    <border>
      <left/>
      <right style="thin">
        <color rgb="00D9D9D9"/>
      </right>
      <top style="thin">
        <color rgb="00D9D9D9"/>
      </top>
      <bottom style="medium">
        <color rgb="001F4E78"/>
      </bottom>
      <diagonal/>
    </border>
    <border>
      <left/>
      <right/>
      <top style="medium">
        <color rgb="001F4E78"/>
      </top>
      <bottom/>
      <diagonal/>
    </border>
    <border>
      <left style="medium">
        <color rgb="001F4E78"/>
      </left>
      <right/>
      <top/>
      <bottom/>
      <diagonal/>
    </border>
    <border>
      <left/>
      <right style="thin">
        <color rgb="00D9D9D9"/>
      </right>
      <top style="medium">
        <color rgb="001F4E78"/>
      </top>
      <bottom/>
      <diagonal/>
    </border>
    <border>
      <left/>
      <right style="thin">
        <color rgb="00D9D9D9"/>
      </right>
      <top/>
      <bottom/>
      <diagonal/>
    </border>
    <border>
      <left style="medium">
        <color rgb="001F4E78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 style="medium">
        <color rgb="005B9BD5"/>
      </top>
      <bottom/>
      <diagonal/>
    </border>
    <border>
      <left/>
      <right style="thin">
        <color rgb="00D9D9D9"/>
      </right>
      <top style="medium">
        <color rgb="005B9BD5"/>
      </top>
      <bottom/>
      <diagonal/>
    </border>
    <border>
      <left/>
      <right/>
      <top style="medium">
        <color rgb="005B9BD5"/>
      </top>
      <bottom style="thin">
        <color rgb="00D9D9D9"/>
      </bottom>
      <diagonal/>
    </border>
    <border>
      <left/>
      <right style="thin">
        <color rgb="00D9D9D9"/>
      </right>
      <top style="medium">
        <color rgb="005B9BD5"/>
      </top>
      <bottom style="thin">
        <color rgb="00D9D9D9"/>
      </bottom>
      <diagonal/>
    </border>
    <border>
      <left/>
      <right/>
      <top style="medium">
        <color rgb="005B9BD5"/>
      </top>
      <bottom style="medium">
        <color rgb="001F4E78"/>
      </bottom>
      <diagonal/>
    </border>
    <border>
      <left/>
      <right style="thin">
        <color rgb="00D9D9D9"/>
      </right>
      <top style="medium">
        <color rgb="005B9BD5"/>
      </top>
      <bottom style="medium">
        <color rgb="001F4E78"/>
      </bottom>
      <diagonal/>
    </border>
    <border>
      <left style="medium">
        <color rgb="001F4E78"/>
      </left>
      <right style="hair">
        <color rgb="00E7E6E6"/>
      </right>
      <top style="medium">
        <color rgb="001F4E78"/>
      </top>
      <bottom style="hair">
        <color rgb="00E7E6E6"/>
      </bottom>
    </border>
    <border>
      <left style="hair">
        <color rgb="00E7E6E6"/>
      </left>
      <right style="hair">
        <color rgb="00E7E6E6"/>
      </right>
      <top style="medium">
        <color rgb="001F4E78"/>
      </top>
      <bottom style="hair">
        <color rgb="00E7E6E6"/>
      </bottom>
    </border>
    <border>
      <left style="hair">
        <color rgb="00E7E6E6"/>
      </left>
      <right style="medium">
        <color rgb="001F4E78"/>
      </right>
      <top style="medium">
        <color rgb="001F4E78"/>
      </top>
      <bottom style="hair">
        <color rgb="00E7E6E6"/>
      </bottom>
    </border>
    <border>
      <left style="medium">
        <color rgb="001F4E78"/>
      </left>
      <right style="hair">
        <color rgb="00E7E6E6"/>
      </right>
      <top style="hair">
        <color rgb="00E7E6E6"/>
      </top>
      <bottom style="medium">
        <color rgb="001F4E78"/>
      </bottom>
    </border>
    <border>
      <left style="hair">
        <color rgb="00E7E6E6"/>
      </left>
      <right style="hair">
        <color rgb="00E7E6E6"/>
      </right>
      <top style="hair">
        <color rgb="00E7E6E6"/>
      </top>
      <bottom style="medium">
        <color rgb="001F4E78"/>
      </bottom>
    </border>
    <border>
      <left style="hair">
        <color rgb="00E7E6E6"/>
      </left>
      <right style="medium">
        <color rgb="001F4E78"/>
      </right>
      <top style="hair">
        <color rgb="00E7E6E6"/>
      </top>
      <bottom style="medium">
        <color rgb="001F4E78"/>
      </bottom>
    </border>
    <border>
      <left style="medium">
        <color rgb="00C00000"/>
      </left>
      <right style="medium">
        <color rgb="00C00000"/>
      </right>
      <top style="hair">
        <color rgb="00E7E6E6"/>
      </top>
      <bottom style="medium">
        <color rgb="00C00000"/>
      </bottom>
    </border>
    <border>
      <left style="hair">
        <color rgb="00E7E6E6"/>
      </left>
      <right style="thin">
        <color rgb="00BFBFBF"/>
      </right>
      <top style="medium">
        <color rgb="001F4E78"/>
      </top>
      <bottom style="hair">
        <color rgb="00E7E6E6"/>
      </bottom>
    </border>
    <border>
      <left style="hair">
        <color rgb="00E7E6E6"/>
      </left>
      <right style="thin">
        <color rgb="00BFBFBF"/>
      </right>
      <top style="hair">
        <color rgb="00E7E6E6"/>
      </top>
      <bottom style="medium">
        <color rgb="001F4E78"/>
      </bottom>
    </border>
    <border>
      <left style="medium">
        <color rgb="001F4E78"/>
      </left>
      <right style="hair">
        <color rgb="00E7E6E6"/>
      </right>
      <top style="medium">
        <color rgb="001F4E78"/>
      </top>
      <bottom style="double">
        <color rgb="001F4E78"/>
      </bottom>
    </border>
    <border>
      <left style="hair">
        <color rgb="00E7E6E6"/>
      </left>
      <right style="hair">
        <color rgb="00E7E6E6"/>
      </right>
      <top style="medium">
        <color rgb="001F4E78"/>
      </top>
      <bottom style="double">
        <color rgb="001F4E78"/>
      </bottom>
    </border>
    <border>
      <left style="hair">
        <color rgb="00E7E6E6"/>
      </left>
      <right style="medium">
        <color rgb="001F4E78"/>
      </right>
      <top style="medium">
        <color rgb="001F4E78"/>
      </top>
      <bottom style="double">
        <color rgb="001F4E78"/>
      </bottom>
    </border>
    <border>
      <left style="medium">
        <color rgb="001F4E78"/>
      </left>
      <right style="hair">
        <color rgb="00E7E6E6"/>
      </right>
      <top style="hair">
        <color rgb="00E7E6E6"/>
      </top>
      <bottom style="hair">
        <color rgb="00E7E6E6"/>
      </bottom>
    </border>
    <border>
      <left style="hair">
        <color rgb="00E7E6E6"/>
      </left>
      <right style="hair">
        <color rgb="00E7E6E6"/>
      </right>
      <top style="hair">
        <color rgb="00E7E6E6"/>
      </top>
      <bottom style="hair">
        <color rgb="00E7E6E6"/>
      </bottom>
    </border>
    <border>
      <left style="hair">
        <color rgb="00E7E6E6"/>
      </left>
      <right style="medium">
        <color rgb="001F4E78"/>
      </right>
      <top style="hair">
        <color rgb="00E7E6E6"/>
      </top>
      <bottom style="hair">
        <color rgb="00E7E6E6"/>
      </bottom>
    </border>
    <border>
      <left style="medium">
        <color rgb="001F4E78"/>
      </left>
      <right style="hair">
        <color rgb="00E7E6E6"/>
      </right>
      <top style="hair">
        <color rgb="00E7E6E6"/>
      </top>
      <bottom style="thin">
        <color rgb="00BFBFBF"/>
      </bottom>
    </border>
    <border>
      <left style="hair">
        <color rgb="00E7E6E6"/>
      </left>
      <right style="hair">
        <color rgb="00E7E6E6"/>
      </right>
      <top style="hair">
        <color rgb="00E7E6E6"/>
      </top>
      <bottom style="thin">
        <color rgb="00BFBFBF"/>
      </bottom>
    </border>
    <border>
      <left style="hair">
        <color rgb="00E7E6E6"/>
      </left>
      <right style="medium">
        <color rgb="001F4E78"/>
      </right>
      <top style="hair">
        <color rgb="00E7E6E6"/>
      </top>
      <bottom style="thin">
        <color rgb="00BFBFBF"/>
      </bottom>
    </border>
    <border>
      <left style="medium">
        <color rgb="001F4E78"/>
      </left>
      <right style="hair">
        <color rgb="00E7E6E6"/>
      </right>
      <top style="medium">
        <color rgb="001F4E78"/>
      </top>
      <bottom style="medium">
        <color rgb="001F4E78"/>
      </bottom>
    </border>
    <border>
      <left style="hair">
        <color rgb="00E7E6E6"/>
      </left>
      <right style="hair">
        <color rgb="00E7E6E6"/>
      </right>
      <top style="medium">
        <color rgb="001F4E78"/>
      </top>
      <bottom style="medium">
        <color rgb="001F4E78"/>
      </bottom>
    </border>
    <border>
      <left style="hair">
        <color rgb="00E7E6E6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hair">
        <color rgb="00E7E6E6"/>
      </top>
      <bottom/>
      <diagonal/>
    </border>
    <border>
      <left/>
      <right style="hair">
        <color rgb="00E7E6E6"/>
      </right>
      <top style="hair">
        <color rgb="00E7E6E6"/>
      </top>
      <bottom/>
      <diagonal/>
    </border>
    <border>
      <left/>
      <right/>
      <top style="hair">
        <color rgb="00E7E6E6"/>
      </top>
      <bottom style="medium">
        <color rgb="001F4E78"/>
      </bottom>
      <diagonal/>
    </border>
    <border>
      <left/>
      <right style="hair">
        <color rgb="00E7E6E6"/>
      </right>
      <top style="hair">
        <color rgb="00E7E6E6"/>
      </top>
      <bottom style="medium">
        <color rgb="001F4E78"/>
      </bottom>
      <diagonal/>
    </border>
    <border>
      <left style="hair">
        <color rgb="00E7E6E6"/>
      </left>
      <right/>
      <top/>
      <bottom/>
      <diagonal/>
    </border>
    <border>
      <left/>
      <right style="hair">
        <color rgb="00E7E6E6"/>
      </right>
      <top style="medium">
        <color rgb="001F4E78"/>
      </top>
      <bottom/>
      <diagonal/>
    </border>
    <border>
      <left/>
      <right style="hair">
        <color rgb="00E7E6E6"/>
      </right>
      <top/>
      <bottom/>
      <diagonal/>
    </border>
    <border>
      <left style="hair">
        <color rgb="00E7E6E6"/>
      </left>
      <right/>
      <top/>
      <bottom style="hair">
        <color rgb="00E7E6E6"/>
      </bottom>
      <diagonal/>
    </border>
    <border>
      <left/>
      <right style="hair">
        <color rgb="00E7E6E6"/>
      </right>
      <top/>
      <bottom style="hair">
        <color rgb="00E7E6E6"/>
      </bottom>
      <diagonal/>
    </border>
    <border>
      <left/>
      <right/>
      <top style="hair">
        <color rgb="00E7E6E6"/>
      </top>
      <bottom style="thin">
        <color rgb="00BFBFBF"/>
      </bottom>
      <diagonal/>
    </border>
    <border>
      <left/>
      <right style="hair">
        <color rgb="00E7E6E6"/>
      </right>
      <top style="hair">
        <color rgb="00E7E6E6"/>
      </top>
      <bottom style="thin">
        <color rgb="00BFBFBF"/>
      </bottom>
      <diagonal/>
    </border>
    <border>
      <left style="medium">
        <color rgb="001F4E78"/>
      </left>
      <right style="hair">
        <color rgb="00E7E6E6"/>
      </right>
      <top/>
      <bottom/>
      <diagonal/>
    </border>
    <border>
      <left style="medium">
        <color rgb="001F4E78"/>
      </left>
      <right style="hair">
        <color rgb="00E7E6E6"/>
      </right>
      <top/>
      <bottom style="hair">
        <color rgb="00E7E6E6"/>
      </bottom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/>
      <right style="hair">
        <color rgb="00E7E6E6"/>
      </right>
      <top style="medium">
        <color rgb="001F4E78"/>
      </top>
      <bottom style="medium">
        <color rgb="001F4E78"/>
      </bottom>
      <diagonal/>
    </border>
    <border>
      <left/>
      <right style="hair">
        <color rgb="00E7E6E6"/>
      </right>
      <top style="medium">
        <color rgb="001F4E78"/>
      </top>
      <bottom style="hair">
        <color rgb="00E7E6E6"/>
      </bottom>
      <diagonal/>
    </border>
    <border/>
    <border>
      <left style="hair">
        <color rgb="00E7E6E6"/>
      </left>
      <right style="thin">
        <color rgb="00BFBFBF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334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0" fillId="2" borderId="0" applyProtection="1" pivotButton="0" quotePrefix="0" xfId="0">
      <protection locked="1" hidden="1"/>
    </xf>
    <xf numFmtId="0" fontId="2" fillId="3" borderId="0" applyAlignment="1" applyProtection="1" pivotButton="0" quotePrefix="0" xfId="0">
      <alignment horizontal="center" vertical="center"/>
      <protection locked="1" hidden="1"/>
    </xf>
    <xf numFmtId="0" fontId="0" fillId="3" borderId="0" applyProtection="1" pivotButton="0" quotePrefix="0" xfId="0">
      <protection locked="1" hidden="1"/>
    </xf>
    <xf numFmtId="0" fontId="3" fillId="2" borderId="1" applyAlignment="1" applyProtection="1" pivotButton="0" quotePrefix="0" xfId="0">
      <alignment horizontal="center" vertical="center" wrapText="1"/>
      <protection locked="1" hidden="1"/>
    </xf>
    <xf numFmtId="0" fontId="4" fillId="4" borderId="2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1" hidden="1"/>
    </xf>
    <xf numFmtId="0" fontId="6" fillId="5" borderId="1" applyAlignment="1" applyProtection="1" pivotButton="0" quotePrefix="0" xfId="0">
      <alignment horizontal="center" vertical="center"/>
      <protection locked="1" hidden="1"/>
    </xf>
    <xf numFmtId="0" fontId="7" fillId="6" borderId="1" applyAlignment="1" applyProtection="1" pivotButton="0" quotePrefix="0" xfId="0">
      <alignment horizontal="center" vertical="center"/>
      <protection locked="1" hidden="1"/>
    </xf>
    <xf numFmtId="0" fontId="0" fillId="5" borderId="1" applyProtection="1" pivotButton="0" quotePrefix="0" xfId="0">
      <protection locked="1" hidden="1"/>
    </xf>
    <xf numFmtId="0" fontId="3" fillId="2" borderId="1" applyAlignment="1" applyProtection="1" pivotButton="0" quotePrefix="0" xfId="0">
      <alignment horizontal="center" vertical="center"/>
      <protection locked="1" hidden="1"/>
    </xf>
    <xf numFmtId="0" fontId="8" fillId="0" borderId="1" applyAlignment="1" applyProtection="1" pivotButton="0" quotePrefix="0" xfId="0">
      <alignment horizontal="center" vertical="center"/>
      <protection locked="1" hidden="1"/>
    </xf>
    <xf numFmtId="2" fontId="8" fillId="0" borderId="1" applyAlignment="1" applyProtection="1" pivotButton="0" quotePrefix="0" xfId="0">
      <alignment horizontal="center" vertical="center"/>
      <protection locked="1" hidden="1"/>
    </xf>
    <xf numFmtId="164" fontId="8" fillId="0" borderId="1" applyAlignment="1" applyProtection="1" pivotButton="0" quotePrefix="0" xfId="0">
      <alignment horizontal="center" vertical="center"/>
      <protection locked="1" hidden="1"/>
    </xf>
    <xf numFmtId="0" fontId="8" fillId="7" borderId="1" applyAlignment="1" applyProtection="1" pivotButton="0" quotePrefix="0" xfId="0">
      <alignment horizontal="center" vertical="center"/>
      <protection locked="1" hidden="1"/>
    </xf>
    <xf numFmtId="2" fontId="8" fillId="7" borderId="1" applyAlignment="1" applyProtection="1" pivotButton="0" quotePrefix="0" xfId="0">
      <alignment horizontal="center" vertical="center"/>
      <protection locked="1" hidden="1"/>
    </xf>
    <xf numFmtId="164" fontId="8" fillId="7" borderId="1" applyAlignment="1" applyProtection="1" pivotButton="0" quotePrefix="0" xfId="0">
      <alignment horizontal="center" vertical="center"/>
      <protection locked="1" hidden="1"/>
    </xf>
    <xf numFmtId="2" fontId="6" fillId="5" borderId="1" applyAlignment="1" applyProtection="1" pivotButton="0" quotePrefix="0" xfId="0">
      <alignment horizontal="center" vertical="center"/>
      <protection locked="1" hidden="1"/>
    </xf>
    <xf numFmtId="164" fontId="6" fillId="5" borderId="1" applyAlignment="1" applyProtection="1" pivotButton="0" quotePrefix="0" xfId="0">
      <alignment horizontal="center" vertical="center"/>
      <protection locked="1" hidden="1"/>
    </xf>
    <xf numFmtId="0" fontId="6" fillId="8" borderId="1" applyAlignment="1" applyProtection="1" pivotButton="0" quotePrefix="0" xfId="0">
      <alignment horizontal="center" vertical="center"/>
      <protection locked="1" hidden="1"/>
    </xf>
    <xf numFmtId="0" fontId="0" fillId="8" borderId="1" applyProtection="1" pivotButton="0" quotePrefix="0" xfId="0">
      <protection locked="1" hidden="1"/>
    </xf>
    <xf numFmtId="2" fontId="6" fillId="8" borderId="1" applyAlignment="1" applyProtection="1" pivotButton="0" quotePrefix="0" xfId="0">
      <alignment horizontal="center" vertical="center"/>
      <protection locked="1" hidden="1"/>
    </xf>
    <xf numFmtId="164" fontId="6" fillId="8" borderId="1" applyAlignment="1" applyProtection="1" pivotButton="0" quotePrefix="0" xfId="0">
      <alignment horizontal="center" vertical="center"/>
      <protection locked="1" hidden="1"/>
    </xf>
    <xf numFmtId="0" fontId="6" fillId="9" borderId="1" applyAlignment="1" applyProtection="1" pivotButton="0" quotePrefix="0" xfId="0">
      <alignment horizontal="center" vertical="center"/>
      <protection locked="1" hidden="1"/>
    </xf>
    <xf numFmtId="0" fontId="0" fillId="9" borderId="1" applyProtection="1" pivotButton="0" quotePrefix="0" xfId="0">
      <protection locked="1" hidden="1"/>
    </xf>
    <xf numFmtId="2" fontId="6" fillId="9" borderId="1" applyAlignment="1" applyProtection="1" pivotButton="0" quotePrefix="0" xfId="0">
      <alignment horizontal="center" vertical="center"/>
      <protection locked="1" hidden="1"/>
    </xf>
    <xf numFmtId="164" fontId="6" fillId="9" borderId="1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left" vertical="center"/>
      <protection locked="1" hidden="1"/>
    </xf>
    <xf numFmtId="0" fontId="10" fillId="0" borderId="0" applyAlignment="1" applyProtection="1" pivotButton="0" quotePrefix="0" xfId="0">
      <alignment horizontal="left" vertical="center"/>
      <protection locked="1" hidden="1"/>
    </xf>
    <xf numFmtId="0" fontId="11" fillId="0" borderId="0" applyAlignment="1" applyProtection="1" pivotButton="0" quotePrefix="0" xfId="0">
      <alignment horizontal="left" vertical="center"/>
      <protection locked="1" hidden="1"/>
    </xf>
    <xf numFmtId="0" fontId="12" fillId="4" borderId="1" applyAlignment="1" applyProtection="1" pivotButton="0" quotePrefix="0" xfId="0">
      <alignment horizontal="center" vertical="center"/>
      <protection locked="0" hidden="0"/>
    </xf>
    <xf numFmtId="0" fontId="3" fillId="2" borderId="0" applyAlignment="1" pivotButton="0" quotePrefix="0" xfId="0">
      <alignment horizontal="center" vertical="center"/>
    </xf>
    <xf numFmtId="0" fontId="6" fillId="5" borderId="16" applyAlignment="1" applyProtection="1" pivotButton="0" quotePrefix="0" xfId="0">
      <alignment horizontal="center" vertical="center"/>
      <protection locked="1" hidden="1"/>
    </xf>
    <xf numFmtId="0" fontId="0" fillId="0" borderId="17" applyProtection="1" pivotButton="0" quotePrefix="0" xfId="0">
      <protection locked="1" hidden="1"/>
    </xf>
    <xf numFmtId="0" fontId="7" fillId="6" borderId="17" applyAlignment="1" applyProtection="1" pivotButton="0" quotePrefix="0" xfId="0">
      <alignment horizontal="center" vertical="center"/>
      <protection locked="1" hidden="1"/>
    </xf>
    <xf numFmtId="0" fontId="0" fillId="0" borderId="2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5" applyProtection="1" pivotButton="0" quotePrefix="0" xfId="0">
      <protection locked="0" hidden="0"/>
    </xf>
    <xf numFmtId="0" fontId="0" fillId="0" borderId="18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3" fillId="2" borderId="22" applyAlignment="1" applyProtection="1" pivotButton="0" quotePrefix="0" xfId="0">
      <alignment horizontal="center" vertical="center"/>
      <protection locked="1" hidden="1"/>
    </xf>
    <xf numFmtId="0" fontId="3" fillId="2" borderId="23" applyAlignment="1" applyProtection="1" pivotButton="0" quotePrefix="0" xfId="0">
      <alignment horizontal="center" vertical="center"/>
      <protection locked="1" hidden="1"/>
    </xf>
    <xf numFmtId="0" fontId="3" fillId="2" borderId="24" applyAlignment="1" applyProtection="1" pivotButton="0" quotePrefix="0" xfId="0">
      <alignment horizontal="center" vertical="center"/>
      <protection locked="1" hidden="1"/>
    </xf>
    <xf numFmtId="0" fontId="8" fillId="0" borderId="25" applyAlignment="1" applyProtection="1" pivotButton="0" quotePrefix="0" xfId="0">
      <alignment horizontal="center" vertical="center"/>
      <protection locked="1" hidden="1"/>
    </xf>
    <xf numFmtId="0" fontId="8" fillId="0" borderId="26" applyAlignment="1" applyProtection="1" pivotButton="0" quotePrefix="0" xfId="0">
      <alignment horizontal="center" vertical="center"/>
      <protection locked="1" hidden="1"/>
    </xf>
    <xf numFmtId="2" fontId="8" fillId="0" borderId="26" applyAlignment="1" applyProtection="1" pivotButton="0" quotePrefix="0" xfId="0">
      <alignment horizontal="center" vertical="center"/>
      <protection locked="1" hidden="1"/>
    </xf>
    <xf numFmtId="164" fontId="8" fillId="0" borderId="26" applyAlignment="1" applyProtection="1" pivotButton="0" quotePrefix="0" xfId="0">
      <alignment horizontal="center" vertical="center"/>
      <protection locked="1" hidden="1"/>
    </xf>
    <xf numFmtId="2" fontId="8" fillId="0" borderId="27" applyAlignment="1" applyProtection="1" pivotButton="0" quotePrefix="0" xfId="0">
      <alignment horizontal="center" vertical="center"/>
      <protection locked="1" hidden="1"/>
    </xf>
    <xf numFmtId="0" fontId="8" fillId="7" borderId="25" applyAlignment="1" applyProtection="1" pivotButton="0" quotePrefix="0" xfId="0">
      <alignment horizontal="center" vertical="center"/>
      <protection locked="1" hidden="1"/>
    </xf>
    <xf numFmtId="0" fontId="8" fillId="7" borderId="26" applyAlignment="1" applyProtection="1" pivotButton="0" quotePrefix="0" xfId="0">
      <alignment horizontal="center" vertical="center"/>
      <protection locked="1" hidden="1"/>
    </xf>
    <xf numFmtId="2" fontId="8" fillId="7" borderId="26" applyAlignment="1" applyProtection="1" pivotButton="0" quotePrefix="0" xfId="0">
      <alignment horizontal="center" vertical="center"/>
      <protection locked="1" hidden="1"/>
    </xf>
    <xf numFmtId="164" fontId="8" fillId="7" borderId="26" applyAlignment="1" applyProtection="1" pivotButton="0" quotePrefix="0" xfId="0">
      <alignment horizontal="center" vertical="center"/>
      <protection locked="1" hidden="1"/>
    </xf>
    <xf numFmtId="2" fontId="8" fillId="7" borderId="27" applyAlignment="1" applyProtection="1" pivotButton="0" quotePrefix="0" xfId="0">
      <alignment horizontal="center" vertical="center"/>
      <protection locked="1" hidden="1"/>
    </xf>
    <xf numFmtId="0" fontId="8" fillId="7" borderId="28" applyAlignment="1" applyProtection="1" pivotButton="0" quotePrefix="0" xfId="0">
      <alignment horizontal="center" vertical="center"/>
      <protection locked="1" hidden="1"/>
    </xf>
    <xf numFmtId="0" fontId="8" fillId="7" borderId="29" applyAlignment="1" applyProtection="1" pivotButton="0" quotePrefix="0" xfId="0">
      <alignment horizontal="center" vertical="center"/>
      <protection locked="1" hidden="1"/>
    </xf>
    <xf numFmtId="2" fontId="8" fillId="7" borderId="29" applyAlignment="1" applyProtection="1" pivotButton="0" quotePrefix="0" xfId="0">
      <alignment horizontal="center" vertical="center"/>
      <protection locked="1" hidden="1"/>
    </xf>
    <xf numFmtId="164" fontId="8" fillId="7" borderId="29" applyAlignment="1" applyProtection="1" pivotButton="0" quotePrefix="0" xfId="0">
      <alignment horizontal="center" vertical="center"/>
      <protection locked="1" hidden="1"/>
    </xf>
    <xf numFmtId="2" fontId="8" fillId="7" borderId="30" applyAlignment="1" applyProtection="1" pivotButton="0" quotePrefix="0" xfId="0">
      <alignment horizontal="center" vertical="center"/>
      <protection locked="1" hidden="1"/>
    </xf>
    <xf numFmtId="0" fontId="6" fillId="5" borderId="31" applyAlignment="1" applyProtection="1" pivotButton="0" quotePrefix="0" xfId="0">
      <alignment horizontal="center" vertical="center"/>
      <protection locked="1" hidden="1"/>
    </xf>
    <xf numFmtId="0" fontId="0" fillId="0" borderId="32" applyProtection="1" pivotButton="0" quotePrefix="0" xfId="0">
      <protection locked="1" hidden="1"/>
    </xf>
    <xf numFmtId="2" fontId="6" fillId="5" borderId="32" applyAlignment="1" applyProtection="1" pivotButton="0" quotePrefix="0" xfId="0">
      <alignment horizontal="center" vertical="center"/>
      <protection locked="1" hidden="1"/>
    </xf>
    <xf numFmtId="164" fontId="6" fillId="5" borderId="32" applyAlignment="1" applyProtection="1" pivotButton="0" quotePrefix="0" xfId="0">
      <alignment horizontal="center" vertical="center"/>
      <protection locked="1" hidden="1"/>
    </xf>
    <xf numFmtId="2" fontId="6" fillId="5" borderId="33" applyAlignment="1" applyProtection="1" pivotButton="0" quotePrefix="0" xfId="0">
      <alignment horizontal="center" vertical="center"/>
      <protection locked="1" hidden="1"/>
    </xf>
    <xf numFmtId="0" fontId="6" fillId="8" borderId="25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1" hidden="1"/>
    </xf>
    <xf numFmtId="2" fontId="6" fillId="8" borderId="26" applyAlignment="1" applyProtection="1" pivotButton="0" quotePrefix="0" xfId="0">
      <alignment horizontal="center" vertical="center"/>
      <protection locked="1" hidden="1"/>
    </xf>
    <xf numFmtId="164" fontId="6" fillId="8" borderId="26" applyAlignment="1" applyProtection="1" pivotButton="0" quotePrefix="0" xfId="0">
      <alignment horizontal="center" vertical="center"/>
      <protection locked="1" hidden="1"/>
    </xf>
    <xf numFmtId="2" fontId="6" fillId="8" borderId="27" applyAlignment="1" applyProtection="1" pivotButton="0" quotePrefix="0" xfId="0">
      <alignment horizontal="center" vertical="center"/>
      <protection locked="1" hidden="1"/>
    </xf>
    <xf numFmtId="0" fontId="6" fillId="9" borderId="18" applyAlignment="1" applyProtection="1" pivotButton="0" quotePrefix="0" xfId="0">
      <alignment horizontal="center" vertical="center"/>
      <protection locked="1" hidden="1"/>
    </xf>
    <xf numFmtId="2" fontId="6" fillId="9" borderId="19" applyAlignment="1" applyProtection="1" pivotButton="0" quotePrefix="0" xfId="0">
      <alignment horizontal="center" vertical="center"/>
      <protection locked="1" hidden="1"/>
    </xf>
    <xf numFmtId="164" fontId="6" fillId="9" borderId="19" applyAlignment="1" applyProtection="1" pivotButton="0" quotePrefix="0" xfId="0">
      <alignment horizontal="center" vertical="center"/>
      <protection locked="1" hidden="1"/>
    </xf>
    <xf numFmtId="2" fontId="6" fillId="9" borderId="21" applyAlignment="1" applyProtection="1" pivotButton="0" quotePrefix="0" xfId="0">
      <alignment horizontal="center" vertical="center"/>
      <protection locked="1" hidden="1"/>
    </xf>
    <xf numFmtId="0" fontId="12" fillId="4" borderId="26" applyAlignment="1" applyProtection="1" pivotButton="0" quotePrefix="0" xfId="0">
      <alignment horizontal="center" vertical="center"/>
      <protection locked="0" hidden="0"/>
    </xf>
    <xf numFmtId="0" fontId="12" fillId="4" borderId="29" applyAlignment="1" applyProtection="1" pivotButton="0" quotePrefix="0" xfId="0">
      <alignment horizontal="center" vertical="center"/>
      <protection locked="0" hidden="0"/>
    </xf>
    <xf numFmtId="0" fontId="6" fillId="5" borderId="34" applyAlignment="1" applyProtection="1" pivotButton="0" quotePrefix="0" xfId="0">
      <alignment horizontal="center" vertical="center"/>
      <protection locked="1" hidden="1"/>
    </xf>
    <xf numFmtId="0" fontId="0" fillId="0" borderId="35" applyProtection="1" pivotButton="0" quotePrefix="0" xfId="0">
      <protection locked="1" hidden="1"/>
    </xf>
    <xf numFmtId="2" fontId="6" fillId="5" borderId="35" applyAlignment="1" applyProtection="1" pivotButton="0" quotePrefix="0" xfId="0">
      <alignment horizontal="center" vertical="center"/>
      <protection locked="1" hidden="1"/>
    </xf>
    <xf numFmtId="164" fontId="6" fillId="5" borderId="35" applyAlignment="1" applyProtection="1" pivotButton="0" quotePrefix="0" xfId="0">
      <alignment horizontal="center" vertical="center"/>
      <protection locked="1" hidden="1"/>
    </xf>
    <xf numFmtId="2" fontId="6" fillId="5" borderId="36" applyAlignment="1" applyProtection="1" pivotButton="0" quotePrefix="0" xfId="0">
      <alignment horizontal="center" vertical="center"/>
      <protection locked="1" hidden="1"/>
    </xf>
    <xf numFmtId="0" fontId="0" fillId="0" borderId="43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0" borderId="47" applyProtection="1" pivotButton="0" quotePrefix="0" xfId="0">
      <protection locked="1" hidden="1"/>
    </xf>
    <xf numFmtId="0" fontId="0" fillId="0" borderId="4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  <xf numFmtId="0" fontId="0" fillId="0" borderId="56" applyProtection="1" pivotButton="0" quotePrefix="0" xfId="0">
      <protection locked="1" hidden="1"/>
    </xf>
    <xf numFmtId="0" fontId="3" fillId="2" borderId="57" applyAlignment="1" applyProtection="1" pivotButton="0" quotePrefix="0" xfId="0">
      <alignment horizontal="center" vertical="center" wrapText="1"/>
      <protection locked="1" hidden="1"/>
    </xf>
    <xf numFmtId="0" fontId="5" fillId="0" borderId="58" applyAlignment="1" applyProtection="1" pivotButton="0" quotePrefix="0" xfId="0">
      <alignment horizontal="left" vertical="center" wrapText="1"/>
      <protection locked="1" hidden="1"/>
    </xf>
    <xf numFmtId="0" fontId="0" fillId="0" borderId="58" applyProtection="1" pivotButton="0" quotePrefix="0" xfId="0">
      <protection locked="1" hidden="1"/>
    </xf>
    <xf numFmtId="0" fontId="6" fillId="5" borderId="58" applyAlignment="1" applyProtection="1" pivotButton="0" quotePrefix="0" xfId="0">
      <alignment horizontal="center" vertical="center"/>
      <protection locked="1" hidden="1"/>
    </xf>
    <xf numFmtId="0" fontId="0" fillId="0" borderId="64" applyProtection="1" pivotButton="0" quotePrefix="0" xfId="0">
      <protection locked="1" hidden="1"/>
    </xf>
    <xf numFmtId="0" fontId="7" fillId="6" borderId="58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3" applyProtection="1" pivotButton="0" quotePrefix="0" xfId="0">
      <protection locked="0" hidden="0"/>
    </xf>
    <xf numFmtId="0" fontId="0" fillId="0" borderId="61" applyProtection="1" pivotButton="0" quotePrefix="0" xfId="0">
      <protection locked="1" hidden="1"/>
    </xf>
    <xf numFmtId="0" fontId="0" fillId="0" borderId="65" applyProtection="1" pivotButton="0" quotePrefix="0" xfId="0">
      <protection locked="1" hidden="1"/>
    </xf>
    <xf numFmtId="0" fontId="0" fillId="0" borderId="62" applyProtection="1" pivotButton="0" quotePrefix="0" xfId="0">
      <protection locked="1" hidden="1"/>
    </xf>
    <xf numFmtId="0" fontId="3" fillId="2" borderId="66" applyAlignment="1" applyProtection="1" pivotButton="0" quotePrefix="0" xfId="0">
      <alignment horizontal="center" vertical="center"/>
      <protection locked="1" hidden="1"/>
    </xf>
    <xf numFmtId="0" fontId="3" fillId="2" borderId="67" applyAlignment="1" applyProtection="1" pivotButton="0" quotePrefix="0" xfId="0">
      <alignment horizontal="center" vertical="center"/>
      <protection locked="1" hidden="1"/>
    </xf>
    <xf numFmtId="0" fontId="3" fillId="2" borderId="68" applyAlignment="1" applyProtection="1" pivotButton="0" quotePrefix="0" xfId="0">
      <alignment horizontal="center" vertical="center"/>
      <protection locked="1" hidden="1"/>
    </xf>
    <xf numFmtId="0" fontId="8" fillId="0" borderId="69" applyAlignment="1" applyProtection="1" pivotButton="0" quotePrefix="0" xfId="0">
      <alignment horizontal="center" vertical="center"/>
      <protection locked="1" hidden="1"/>
    </xf>
    <xf numFmtId="0" fontId="8" fillId="0" borderId="70" applyAlignment="1" applyProtection="1" pivotButton="0" quotePrefix="0" xfId="0">
      <alignment horizontal="center" vertical="center"/>
      <protection locked="1" hidden="1"/>
    </xf>
    <xf numFmtId="2" fontId="8" fillId="0" borderId="70" applyAlignment="1" applyProtection="1" pivotButton="0" quotePrefix="0" xfId="0">
      <alignment horizontal="center" vertical="center"/>
      <protection locked="1" hidden="1"/>
    </xf>
    <xf numFmtId="164" fontId="8" fillId="0" borderId="70" applyAlignment="1" applyProtection="1" pivotButton="0" quotePrefix="0" xfId="0">
      <alignment horizontal="center" vertical="center"/>
      <protection locked="1" hidden="1"/>
    </xf>
    <xf numFmtId="2" fontId="8" fillId="0" borderId="71" applyAlignment="1" applyProtection="1" pivotButton="0" quotePrefix="0" xfId="0">
      <alignment horizontal="center" vertical="center"/>
      <protection locked="1" hidden="1"/>
    </xf>
    <xf numFmtId="0" fontId="8" fillId="7" borderId="69" applyAlignment="1" applyProtection="1" pivotButton="0" quotePrefix="0" xfId="0">
      <alignment horizontal="center" vertical="center"/>
      <protection locked="1" hidden="1"/>
    </xf>
    <xf numFmtId="0" fontId="8" fillId="7" borderId="70" applyAlignment="1" applyProtection="1" pivotButton="0" quotePrefix="0" xfId="0">
      <alignment horizontal="center" vertical="center"/>
      <protection locked="1" hidden="1"/>
    </xf>
    <xf numFmtId="2" fontId="8" fillId="7" borderId="70" applyAlignment="1" applyProtection="1" pivotButton="0" quotePrefix="0" xfId="0">
      <alignment horizontal="center" vertical="center"/>
      <protection locked="1" hidden="1"/>
    </xf>
    <xf numFmtId="164" fontId="8" fillId="7" borderId="70" applyAlignment="1" applyProtection="1" pivotButton="0" quotePrefix="0" xfId="0">
      <alignment horizontal="center" vertical="center"/>
      <protection locked="1" hidden="1"/>
    </xf>
    <xf numFmtId="2" fontId="8" fillId="7" borderId="71" applyAlignment="1" applyProtection="1" pivotButton="0" quotePrefix="0" xfId="0">
      <alignment horizontal="center" vertical="center"/>
      <protection locked="1" hidden="1"/>
    </xf>
    <xf numFmtId="0" fontId="8" fillId="7" borderId="60" applyAlignment="1" applyProtection="1" pivotButton="0" quotePrefix="0" xfId="0">
      <alignment horizontal="center" vertical="center"/>
      <protection locked="1" hidden="1"/>
    </xf>
    <xf numFmtId="0" fontId="8" fillId="7" borderId="61" applyAlignment="1" applyProtection="1" pivotButton="0" quotePrefix="0" xfId="0">
      <alignment horizontal="center" vertical="center"/>
      <protection locked="1" hidden="1"/>
    </xf>
    <xf numFmtId="2" fontId="8" fillId="7" borderId="61" applyAlignment="1" applyProtection="1" pivotButton="0" quotePrefix="0" xfId="0">
      <alignment horizontal="center" vertical="center"/>
      <protection locked="1" hidden="1"/>
    </xf>
    <xf numFmtId="164" fontId="8" fillId="7" borderId="61" applyAlignment="1" applyProtection="1" pivotButton="0" quotePrefix="0" xfId="0">
      <alignment horizontal="center" vertical="center"/>
      <protection locked="1" hidden="1"/>
    </xf>
    <xf numFmtId="2" fontId="8" fillId="7" borderId="62" applyAlignment="1" applyProtection="1" pivotButton="0" quotePrefix="0" xfId="0">
      <alignment horizontal="center" vertical="center"/>
      <protection locked="1" hidden="1"/>
    </xf>
    <xf numFmtId="0" fontId="6" fillId="5" borderId="72" applyAlignment="1" applyProtection="1" pivotButton="0" quotePrefix="0" xfId="0">
      <alignment horizontal="center" vertical="center"/>
      <protection locked="1" hidden="1"/>
    </xf>
    <xf numFmtId="0" fontId="0" fillId="0" borderId="73" applyProtection="1" pivotButton="0" quotePrefix="0" xfId="0">
      <protection locked="1" hidden="1"/>
    </xf>
    <xf numFmtId="2" fontId="6" fillId="5" borderId="73" applyAlignment="1" applyProtection="1" pivotButton="0" quotePrefix="0" xfId="0">
      <alignment horizontal="center" vertical="center"/>
      <protection locked="1" hidden="1"/>
    </xf>
    <xf numFmtId="164" fontId="6" fillId="5" borderId="73" applyAlignment="1" applyProtection="1" pivotButton="0" quotePrefix="0" xfId="0">
      <alignment horizontal="center" vertical="center"/>
      <protection locked="1" hidden="1"/>
    </xf>
    <xf numFmtId="2" fontId="6" fillId="5" borderId="74" applyAlignment="1" applyProtection="1" pivotButton="0" quotePrefix="0" xfId="0">
      <alignment horizontal="center" vertical="center"/>
      <protection locked="1" hidden="1"/>
    </xf>
    <xf numFmtId="0" fontId="6" fillId="8" borderId="72" applyAlignment="1" applyProtection="1" pivotButton="0" quotePrefix="0" xfId="0">
      <alignment horizontal="center" vertical="center"/>
      <protection locked="1" hidden="1"/>
    </xf>
    <xf numFmtId="2" fontId="6" fillId="8" borderId="73" applyAlignment="1" applyProtection="1" pivotButton="0" quotePrefix="0" xfId="0">
      <alignment horizontal="center" vertical="center"/>
      <protection locked="1" hidden="1"/>
    </xf>
    <xf numFmtId="164" fontId="6" fillId="8" borderId="73" applyAlignment="1" applyProtection="1" pivotButton="0" quotePrefix="0" xfId="0">
      <alignment horizontal="center" vertical="center"/>
      <protection locked="1" hidden="1"/>
    </xf>
    <xf numFmtId="2" fontId="6" fillId="8" borderId="74" applyAlignment="1" applyProtection="1" pivotButton="0" quotePrefix="0" xfId="0">
      <alignment horizontal="center" vertical="center"/>
      <protection locked="1" hidden="1"/>
    </xf>
    <xf numFmtId="0" fontId="6" fillId="9" borderId="60" applyAlignment="1" applyProtection="1" pivotButton="0" quotePrefix="0" xfId="0">
      <alignment horizontal="center" vertical="center"/>
      <protection locked="1" hidden="1"/>
    </xf>
    <xf numFmtId="2" fontId="6" fillId="9" borderId="61" applyAlignment="1" applyProtection="1" pivotButton="0" quotePrefix="0" xfId="0">
      <alignment horizontal="center" vertical="center"/>
      <protection locked="1" hidden="1"/>
    </xf>
    <xf numFmtId="164" fontId="6" fillId="9" borderId="61" applyAlignment="1" applyProtection="1" pivotButton="0" quotePrefix="0" xfId="0">
      <alignment horizontal="center" vertical="center"/>
      <protection locked="1" hidden="1"/>
    </xf>
    <xf numFmtId="2" fontId="6" fillId="9" borderId="62" applyAlignment="1" applyProtection="1" pivotButton="0" quotePrefix="0" xfId="0">
      <alignment horizontal="center" vertical="center"/>
      <protection locked="1" hidden="1"/>
    </xf>
    <xf numFmtId="0" fontId="12" fillId="4" borderId="70" applyAlignment="1" applyProtection="1" pivotButton="0" quotePrefix="0" xfId="0">
      <alignment horizontal="center" vertical="center"/>
      <protection locked="0" hidden="0"/>
    </xf>
    <xf numFmtId="0" fontId="12" fillId="4" borderId="61" applyAlignment="1" applyProtection="1" pivotButton="0" quotePrefix="0" xfId="0">
      <alignment horizontal="center" vertical="center"/>
      <protection locked="0" hidden="0"/>
    </xf>
    <xf numFmtId="0" fontId="6" fillId="5" borderId="75" applyAlignment="1" applyProtection="1" pivotButton="0" quotePrefix="0" xfId="0">
      <alignment horizontal="center" vertical="center"/>
      <protection locked="1" hidden="1"/>
    </xf>
    <xf numFmtId="0" fontId="0" fillId="0" borderId="76" applyProtection="1" pivotButton="0" quotePrefix="0" xfId="0">
      <protection locked="1" hidden="1"/>
    </xf>
    <xf numFmtId="2" fontId="6" fillId="5" borderId="76" applyAlignment="1" applyProtection="1" pivotButton="0" quotePrefix="0" xfId="0">
      <alignment horizontal="center" vertical="center"/>
      <protection locked="1" hidden="1"/>
    </xf>
    <xf numFmtId="164" fontId="6" fillId="5" borderId="76" applyAlignment="1" applyProtection="1" pivotButton="0" quotePrefix="0" xfId="0">
      <alignment horizontal="center" vertical="center"/>
      <protection locked="1" hidden="1"/>
    </xf>
    <xf numFmtId="2" fontId="6" fillId="5" borderId="77" applyAlignment="1" applyProtection="1" pivotButton="0" quotePrefix="0" xfId="0">
      <alignment horizontal="center" vertical="center"/>
      <protection locked="1" hidden="1"/>
    </xf>
    <xf numFmtId="0" fontId="0" fillId="0" borderId="83" applyProtection="1" pivotButton="0" quotePrefix="0" xfId="0">
      <protection locked="1" hidden="1"/>
    </xf>
    <xf numFmtId="0" fontId="0" fillId="0" borderId="90" applyProtection="1" pivotButton="0" quotePrefix="0" xfId="0">
      <protection locked="1" hidden="1"/>
    </xf>
    <xf numFmtId="0" fontId="0" fillId="0" borderId="85" applyProtection="1" pivotButton="0" quotePrefix="0" xfId="0">
      <protection locked="1" hidden="1"/>
    </xf>
    <xf numFmtId="0" fontId="0" fillId="0" borderId="86" applyProtection="1" pivotButton="0" quotePrefix="0" xfId="0">
      <protection locked="1" hidden="1"/>
    </xf>
    <xf numFmtId="0" fontId="0" fillId="0" borderId="87" applyProtection="1" pivotButton="0" quotePrefix="0" xfId="0">
      <protection locked="1" hidden="1"/>
    </xf>
    <xf numFmtId="0" fontId="0" fillId="0" borderId="88" applyProtection="1" pivotButton="0" quotePrefix="0" xfId="0">
      <protection locked="1" hidden="1"/>
    </xf>
    <xf numFmtId="0" fontId="0" fillId="0" borderId="80" applyProtection="1" pivotButton="0" quotePrefix="0" xfId="0">
      <protection locked="1" hidden="1"/>
    </xf>
    <xf numFmtId="0" fontId="0" fillId="0" borderId="81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0" fontId="0" fillId="0" borderId="92" applyProtection="1" pivotButton="0" quotePrefix="0" xfId="0">
      <protection locked="1" hidden="1"/>
    </xf>
    <xf numFmtId="0" fontId="3" fillId="2" borderId="75" applyAlignment="1" applyProtection="1" pivotButton="0" quotePrefix="0" xfId="0">
      <alignment horizontal="center" vertical="center"/>
      <protection locked="1" hidden="1"/>
    </xf>
    <xf numFmtId="0" fontId="13" fillId="4" borderId="2" applyAlignment="1" applyProtection="1" pivotButton="0" quotePrefix="0" xfId="0">
      <alignment horizontal="center" vertical="center"/>
      <protection locked="0" hidden="0"/>
    </xf>
    <xf numFmtId="0" fontId="5" fillId="0" borderId="76" applyAlignment="1" applyProtection="1" pivotButton="0" quotePrefix="0" xfId="0">
      <alignment horizontal="left" vertical="center"/>
      <protection locked="1" hidden="1"/>
    </xf>
    <xf numFmtId="0" fontId="6" fillId="5" borderId="76" applyAlignment="1" applyProtection="1" pivotButton="0" quotePrefix="0" xfId="0">
      <alignment horizontal="center" vertical="center"/>
      <protection locked="1" hidden="1"/>
    </xf>
    <xf numFmtId="0" fontId="0" fillId="0" borderId="95" applyProtection="1" pivotButton="0" quotePrefix="0" xfId="0">
      <protection locked="1" hidden="1"/>
    </xf>
    <xf numFmtId="0" fontId="14" fillId="6" borderId="76" applyAlignment="1" applyProtection="1" pivotButton="0" quotePrefix="0" xfId="0">
      <alignment horizontal="center" vertical="center"/>
      <protection locked="1" hidden="1"/>
    </xf>
    <xf numFmtId="0" fontId="0" fillId="0" borderId="77" applyProtection="1" pivotButton="0" quotePrefix="0" xfId="0">
      <protection locked="1" hidden="1"/>
    </xf>
    <xf numFmtId="0" fontId="0" fillId="0" borderId="94" pivotButton="0" quotePrefix="0" xfId="0"/>
    <xf numFmtId="0" fontId="15" fillId="2" borderId="75" applyAlignment="1" applyProtection="1" pivotButton="0" quotePrefix="0" xfId="0">
      <alignment horizontal="center" vertical="center"/>
      <protection locked="1" hidden="1"/>
    </xf>
    <xf numFmtId="0" fontId="16" fillId="0" borderId="76" applyAlignment="1" applyProtection="1" pivotButton="0" quotePrefix="0" xfId="0">
      <alignment horizontal="left" vertical="center" wrapText="1" indent="1"/>
      <protection locked="1" hidden="1"/>
    </xf>
    <xf numFmtId="0" fontId="18" fillId="5" borderId="0" applyAlignment="1" applyProtection="1" pivotButton="0" quotePrefix="0" xfId="0">
      <alignment horizontal="center" vertical="center"/>
      <protection locked="1" hidden="1"/>
    </xf>
    <xf numFmtId="0" fontId="0" fillId="5" borderId="0" applyProtection="1" pivotButton="0" quotePrefix="0" xfId="0">
      <protection locked="1" hidden="1"/>
    </xf>
    <xf numFmtId="0" fontId="0" fillId="2" borderId="66" applyProtection="1" pivotButton="0" quotePrefix="0" xfId="0">
      <protection locked="1" hidden="1"/>
    </xf>
    <xf numFmtId="0" fontId="19" fillId="2" borderId="67" applyAlignment="1" applyProtection="1" pivotButton="0" quotePrefix="0" xfId="0">
      <alignment horizontal="center" vertical="center"/>
      <protection locked="1" hidden="1"/>
    </xf>
    <xf numFmtId="0" fontId="19" fillId="2" borderId="68" applyAlignment="1" applyProtection="1" pivotButton="0" quotePrefix="0" xfId="0">
      <alignment horizontal="center" vertical="center"/>
      <protection locked="1" hidden="1"/>
    </xf>
    <xf numFmtId="0" fontId="11" fillId="8" borderId="69" applyAlignment="1" applyProtection="1" pivotButton="0" quotePrefix="0" xfId="0">
      <alignment horizontal="center" vertical="center"/>
      <protection locked="1" hidden="1"/>
    </xf>
    <xf numFmtId="0" fontId="12" fillId="8" borderId="70" applyAlignment="1" applyProtection="1" pivotButton="0" quotePrefix="0" xfId="0">
      <alignment horizontal="center" vertical="center"/>
      <protection locked="1" hidden="1"/>
    </xf>
    <xf numFmtId="0" fontId="12" fillId="10" borderId="71" applyAlignment="1" applyProtection="1" pivotButton="0" quotePrefix="0" xfId="0">
      <alignment horizontal="center" vertical="center"/>
      <protection locked="1" hidden="1"/>
    </xf>
    <xf numFmtId="0" fontId="20" fillId="11" borderId="60" applyAlignment="1" applyProtection="1" pivotButton="0" quotePrefix="0" xfId="0">
      <alignment horizontal="center" vertical="center"/>
      <protection locked="1" hidden="1"/>
    </xf>
    <xf numFmtId="0" fontId="21" fillId="11" borderId="61" applyAlignment="1" applyProtection="1" pivotButton="0" quotePrefix="0" xfId="0">
      <alignment horizontal="center" vertical="center"/>
      <protection locked="1" hidden="1"/>
    </xf>
    <xf numFmtId="0" fontId="21" fillId="12" borderId="61" applyAlignment="1" applyProtection="1" pivotButton="0" quotePrefix="0" xfId="0">
      <alignment horizontal="center" vertical="center"/>
      <protection locked="1" hidden="1"/>
    </xf>
    <xf numFmtId="0" fontId="21" fillId="11" borderId="62" applyAlignment="1" applyProtection="1" pivotButton="0" quotePrefix="0" xfId="0">
      <alignment horizontal="center" vertical="center"/>
      <protection locked="1" hidden="1"/>
    </xf>
    <xf numFmtId="0" fontId="22" fillId="8" borderId="0" applyAlignment="1" applyProtection="1" pivotButton="0" quotePrefix="0" xfId="0">
      <alignment horizontal="center" vertical="center"/>
      <protection locked="1" hidden="1"/>
    </xf>
    <xf numFmtId="0" fontId="0" fillId="8" borderId="0" applyProtection="1" pivotButton="0" quotePrefix="0" xfId="0">
      <protection locked="1" hidden="1"/>
    </xf>
    <xf numFmtId="2" fontId="12" fillId="0" borderId="70" applyAlignment="1" applyProtection="1" pivotButton="0" quotePrefix="0" xfId="0">
      <alignment horizontal="center" vertical="center"/>
      <protection locked="1" hidden="1"/>
    </xf>
    <xf numFmtId="164" fontId="8" fillId="0" borderId="71" applyAlignment="1" applyProtection="1" pivotButton="0" quotePrefix="0" xfId="0">
      <alignment horizontal="center" vertical="center"/>
      <protection locked="1" hidden="1"/>
    </xf>
    <xf numFmtId="2" fontId="12" fillId="7" borderId="70" applyAlignment="1" applyProtection="1" pivotButton="0" quotePrefix="0" xfId="0">
      <alignment horizontal="center" vertical="center"/>
      <protection locked="1" hidden="1"/>
    </xf>
    <xf numFmtId="164" fontId="8" fillId="7" borderId="71" applyAlignment="1" applyProtection="1" pivotButton="0" quotePrefix="0" xfId="0">
      <alignment horizontal="center" vertical="center"/>
      <protection locked="1" hidden="1"/>
    </xf>
    <xf numFmtId="0" fontId="8" fillId="0" borderId="60" applyAlignment="1" applyProtection="1" pivotButton="0" quotePrefix="0" xfId="0">
      <alignment horizontal="center" vertical="center"/>
      <protection locked="1" hidden="1"/>
    </xf>
    <xf numFmtId="0" fontId="8" fillId="0" borderId="61" applyAlignment="1" applyProtection="1" pivotButton="0" quotePrefix="0" xfId="0">
      <alignment horizontal="center" vertical="center"/>
      <protection locked="1" hidden="1"/>
    </xf>
    <xf numFmtId="2" fontId="8" fillId="0" borderId="61" applyAlignment="1" applyProtection="1" pivotButton="0" quotePrefix="0" xfId="0">
      <alignment horizontal="center" vertical="center"/>
      <protection locked="1" hidden="1"/>
    </xf>
    <xf numFmtId="164" fontId="8" fillId="0" borderId="62" applyAlignment="1" applyProtection="1" pivotButton="0" quotePrefix="0" xfId="0">
      <alignment horizontal="center" vertical="center"/>
      <protection locked="1" hidden="1"/>
    </xf>
    <xf numFmtId="0" fontId="0" fillId="5" borderId="76" applyProtection="1" pivotButton="0" quotePrefix="0" xfId="0">
      <protection locked="1" hidden="1"/>
    </xf>
    <xf numFmtId="164" fontId="6" fillId="5" borderId="77" applyAlignment="1" applyProtection="1" pivotButton="0" quotePrefix="0" xfId="0">
      <alignment horizontal="center" vertical="center"/>
      <protection locked="1" hidden="1"/>
    </xf>
    <xf numFmtId="0" fontId="23" fillId="11" borderId="0" applyAlignment="1" applyProtection="1" pivotButton="0" quotePrefix="0" xfId="0">
      <alignment horizontal="center" vertical="center"/>
      <protection locked="1" hidden="1"/>
    </xf>
    <xf numFmtId="0" fontId="0" fillId="11" borderId="0" applyProtection="1" pivotButton="0" quotePrefix="0" xfId="0">
      <protection locked="1" hidden="1"/>
    </xf>
    <xf numFmtId="2" fontId="21" fillId="0" borderId="70" applyAlignment="1" applyProtection="1" pivotButton="0" quotePrefix="0" xfId="0">
      <alignment horizontal="center" vertical="center"/>
      <protection locked="1" hidden="1"/>
    </xf>
    <xf numFmtId="2" fontId="21" fillId="7" borderId="70" applyAlignment="1" applyProtection="1" pivotButton="0" quotePrefix="0" xfId="0">
      <alignment horizontal="center" vertical="center"/>
      <protection locked="1" hidden="1"/>
    </xf>
    <xf numFmtId="0" fontId="3" fillId="2" borderId="67" applyAlignment="1" pivotButton="0" quotePrefix="0" xfId="0">
      <alignment horizontal="center" vertical="center"/>
    </xf>
    <xf numFmtId="0" fontId="3" fillId="2" borderId="68" applyAlignment="1" pivotButton="0" quotePrefix="0" xfId="0">
      <alignment horizontal="center" vertical="center"/>
    </xf>
    <xf numFmtId="0" fontId="17" fillId="0" borderId="70" applyAlignment="1" applyProtection="1" pivotButton="0" quotePrefix="0" xfId="0">
      <alignment horizontal="center" vertical="center"/>
      <protection locked="1" hidden="1"/>
    </xf>
    <xf numFmtId="165" fontId="17" fillId="0" borderId="71" applyAlignment="1" applyProtection="1" pivotButton="0" quotePrefix="0" xfId="0">
      <alignment horizontal="center" vertical="center"/>
      <protection locked="1" hidden="1"/>
    </xf>
    <xf numFmtId="0" fontId="17" fillId="7" borderId="70" applyAlignment="1" applyProtection="1" pivotButton="0" quotePrefix="0" xfId="0">
      <alignment horizontal="center" vertical="center"/>
      <protection locked="1" hidden="1"/>
    </xf>
    <xf numFmtId="165" fontId="17" fillId="7" borderId="71" applyAlignment="1" applyProtection="1" pivotButton="0" quotePrefix="0" xfId="0">
      <alignment horizontal="center" vertical="center"/>
      <protection locked="1" hidden="1"/>
    </xf>
    <xf numFmtId="0" fontId="17" fillId="7" borderId="61" applyAlignment="1" applyProtection="1" pivotButton="0" quotePrefix="0" xfId="0">
      <alignment horizontal="center" vertical="center"/>
      <protection locked="1" hidden="1"/>
    </xf>
    <xf numFmtId="165" fontId="17" fillId="7" borderId="62" applyAlignment="1" applyProtection="1" pivotButton="0" quotePrefix="0" xfId="0">
      <alignment horizontal="center" vertical="center"/>
      <protection locked="1" hidden="1"/>
    </xf>
    <xf numFmtId="0" fontId="0" fillId="5" borderId="58" applyProtection="1" pivotButton="0" quotePrefix="0" xfId="0">
      <protection locked="1" hidden="1"/>
    </xf>
    <xf numFmtId="0" fontId="0" fillId="5" borderId="59" applyProtection="1" pivotButton="0" quotePrefix="0" xfId="0">
      <protection locked="1" hidden="1"/>
    </xf>
    <xf numFmtId="0" fontId="0" fillId="8" borderId="70" applyProtection="1" pivotButton="0" quotePrefix="0" xfId="0">
      <protection locked="1" hidden="1"/>
    </xf>
    <xf numFmtId="0" fontId="0" fillId="8" borderId="71" applyProtection="1" pivotButton="0" quotePrefix="0" xfId="0">
      <protection locked="1" hidden="1"/>
    </xf>
    <xf numFmtId="0" fontId="0" fillId="9" borderId="61" applyProtection="1" pivotButton="0" quotePrefix="0" xfId="0">
      <protection locked="1" hidden="1"/>
    </xf>
    <xf numFmtId="0" fontId="0" fillId="9" borderId="62" applyProtection="1" pivotButton="0" quotePrefix="0" xfId="0">
      <protection locked="1" hidden="1"/>
    </xf>
    <xf numFmtId="0" fontId="0" fillId="5" borderId="76" pivotButton="0" quotePrefix="0" xfId="0"/>
    <xf numFmtId="0" fontId="0" fillId="5" borderId="77" pivotButton="0" quotePrefix="0" xfId="0"/>
    <xf numFmtId="165" fontId="0" fillId="0" borderId="0" pivotButton="0" quotePrefix="0" xfId="0"/>
    <xf numFmtId="0" fontId="24" fillId="8" borderId="75" applyAlignment="1" applyProtection="1" pivotButton="0" quotePrefix="0" xfId="0">
      <alignment horizontal="center" vertical="center"/>
      <protection locked="1" hidden="1"/>
    </xf>
    <xf numFmtId="0" fontId="0" fillId="8" borderId="76" applyProtection="1" pivotButton="0" quotePrefix="0" xfId="0">
      <protection locked="1" hidden="1"/>
    </xf>
    <xf numFmtId="0" fontId="12" fillId="8" borderId="76" applyAlignment="1" applyProtection="1" pivotButton="0" quotePrefix="0" xfId="0">
      <alignment horizontal="center" vertical="center"/>
      <protection locked="1" hidden="1"/>
    </xf>
    <xf numFmtId="0" fontId="25" fillId="11" borderId="76" applyAlignment="1" applyProtection="1" pivotButton="0" quotePrefix="0" xfId="0">
      <alignment horizontal="center" vertical="center"/>
      <protection locked="1" hidden="1"/>
    </xf>
    <xf numFmtId="0" fontId="0" fillId="11" borderId="76" applyProtection="1" pivotButton="0" quotePrefix="0" xfId="0">
      <protection locked="1" hidden="1"/>
    </xf>
    <xf numFmtId="0" fontId="21" fillId="11" borderId="77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left" vertical="center" wrapText="1"/>
      <protection locked="1" hidden="1"/>
    </xf>
    <xf numFmtId="0" fontId="24" fillId="8" borderId="0" applyAlignment="1" applyProtection="1" pivotButton="0" quotePrefix="0" xfId="0">
      <alignment horizontal="center" vertical="center"/>
      <protection locked="1" hidden="1"/>
    </xf>
    <xf numFmtId="0" fontId="25" fillId="11" borderId="0" applyAlignment="1" applyProtection="1" pivotButton="0" quotePrefix="0" xfId="0">
      <alignment horizontal="center" vertical="center"/>
      <protection locked="1" hidden="1"/>
    </xf>
    <xf numFmtId="0" fontId="22" fillId="8" borderId="75" applyAlignment="1" applyProtection="1" pivotButton="0" quotePrefix="0" xfId="0">
      <alignment horizontal="center" vertical="center"/>
      <protection locked="1" hidden="1"/>
    </xf>
    <xf numFmtId="0" fontId="23" fillId="11" borderId="76" applyAlignment="1" applyProtection="1" pivotButton="0" quotePrefix="0" xfId="0">
      <alignment horizontal="center" vertical="center"/>
      <protection locked="1" hidden="1"/>
    </xf>
    <xf numFmtId="0" fontId="0" fillId="11" borderId="77" applyProtection="1" pivotButton="0" quotePrefix="0" xfId="0">
      <protection locked="1" hidden="1"/>
    </xf>
    <xf numFmtId="0" fontId="12" fillId="10" borderId="70" applyAlignment="1" applyProtection="1" pivotButton="0" quotePrefix="0" xfId="0">
      <alignment horizontal="center" vertical="center"/>
      <protection locked="1" hidden="1"/>
    </xf>
    <xf numFmtId="0" fontId="8" fillId="0" borderId="71" applyAlignment="1" applyProtection="1" pivotButton="0" quotePrefix="0" xfId="0">
      <alignment horizontal="center" vertical="center"/>
      <protection locked="1" hidden="1"/>
    </xf>
    <xf numFmtId="0" fontId="8" fillId="7" borderId="71" applyAlignment="1" applyProtection="1" pivotButton="0" quotePrefix="0" xfId="0">
      <alignment horizontal="center" vertical="center"/>
      <protection locked="1" hidden="1"/>
    </xf>
    <xf numFmtId="0" fontId="21" fillId="12" borderId="70" applyAlignment="1" applyProtection="1" pivotButton="0" quotePrefix="0" xfId="0">
      <alignment horizontal="center" vertical="center"/>
      <protection locked="1" hidden="1"/>
    </xf>
    <xf numFmtId="0" fontId="8" fillId="7" borderId="62" applyAlignment="1" applyProtection="1" pivotButton="0" quotePrefix="0" xfId="0">
      <alignment horizontal="center" vertical="center"/>
      <protection locked="1" hidden="1"/>
    </xf>
    <xf numFmtId="166" fontId="6" fillId="5" borderId="76" applyAlignment="1" applyProtection="1" pivotButton="0" quotePrefix="0" xfId="0">
      <alignment horizontal="center" vertical="center"/>
      <protection locked="1" hidden="1"/>
    </xf>
    <xf numFmtId="166" fontId="6" fillId="5" borderId="77" applyAlignment="1" applyProtection="1" pivotButton="0" quotePrefix="0" xfId="0">
      <alignment horizontal="center" vertical="center"/>
      <protection locked="1" hidden="1"/>
    </xf>
    <xf numFmtId="0" fontId="6" fillId="8" borderId="69" applyAlignment="1" applyProtection="1" pivotButton="0" quotePrefix="0" xfId="0">
      <alignment horizontal="center" vertical="center"/>
      <protection locked="1" hidden="1"/>
    </xf>
    <xf numFmtId="0" fontId="6" fillId="8" borderId="70" applyAlignment="1" applyProtection="1" pivotButton="0" quotePrefix="0" xfId="0">
      <alignment horizontal="center" vertical="center"/>
      <protection locked="1" hidden="1"/>
    </xf>
    <xf numFmtId="0" fontId="6" fillId="8" borderId="71" applyAlignment="1" applyProtection="1" pivotButton="0" quotePrefix="0" xfId="0">
      <alignment horizontal="center" vertical="center"/>
      <protection locked="1" hidden="1"/>
    </xf>
    <xf numFmtId="0" fontId="6" fillId="9" borderId="61" applyAlignment="1" applyProtection="1" pivotButton="0" quotePrefix="0" xfId="0">
      <alignment horizontal="center" vertical="center"/>
      <protection locked="1" hidden="1"/>
    </xf>
    <xf numFmtId="0" fontId="6" fillId="9" borderId="62" applyAlignment="1" applyProtection="1" pivotButton="0" quotePrefix="0" xfId="0">
      <alignment horizontal="center" vertical="center"/>
      <protection locked="1" hidden="1"/>
    </xf>
    <xf numFmtId="0" fontId="6" fillId="5" borderId="57" applyAlignment="1" applyProtection="1" pivotButton="0" quotePrefix="0" xfId="0">
      <alignment horizontal="center" vertical="center"/>
      <protection locked="1" hidden="1"/>
    </xf>
    <xf numFmtId="0" fontId="6" fillId="5" borderId="59" applyAlignment="1" applyProtection="1" pivotButton="0" quotePrefix="0" xfId="0">
      <alignment horizontal="center" vertical="center"/>
      <protection locked="1" hidden="1"/>
    </xf>
    <xf numFmtId="0" fontId="26" fillId="0" borderId="0" applyProtection="1" pivotButton="0" quotePrefix="0" xfId="0"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8" borderId="0" applyAlignment="1" applyProtection="1" pivotButton="0" quotePrefix="0" xfId="0">
      <alignment horizontal="center" vertical="center"/>
      <protection locked="1" hidden="1"/>
    </xf>
    <xf numFmtId="0" fontId="3" fillId="11" borderId="0" applyAlignment="1" applyProtection="1" pivotButton="0" quotePrefix="0" xfId="0">
      <alignment horizontal="center" vertical="center"/>
      <protection locked="1" hidden="1"/>
    </xf>
    <xf numFmtId="0" fontId="8" fillId="0" borderId="0" applyAlignment="1" applyProtection="1" pivotButton="0" quotePrefix="0" xfId="0">
      <alignment horizontal="center" vertical="center"/>
      <protection locked="1" hidden="1"/>
    </xf>
    <xf numFmtId="0" fontId="8" fillId="7" borderId="0" applyAlignment="1" applyProtection="1" pivotButton="0" quotePrefix="0" xfId="0">
      <alignment horizontal="center" vertical="center"/>
      <protection locked="1" hidden="1"/>
    </xf>
    <xf numFmtId="0" fontId="27" fillId="8" borderId="75" applyAlignment="1" applyProtection="1" pivotButton="0" quotePrefix="0" xfId="0">
      <alignment horizontal="center" vertical="center"/>
      <protection locked="1" hidden="1"/>
    </xf>
    <xf numFmtId="0" fontId="28" fillId="11" borderId="76" applyAlignment="1" applyProtection="1" pivotButton="0" quotePrefix="0" xfId="0">
      <alignment horizontal="center" vertical="center"/>
      <protection locked="1" hidden="1"/>
    </xf>
    <xf numFmtId="0" fontId="29" fillId="0" borderId="69" applyAlignment="1" applyProtection="1" pivotButton="0" quotePrefix="0" xfId="0">
      <alignment horizontal="center" vertical="center"/>
      <protection locked="1" hidden="1"/>
    </xf>
    <xf numFmtId="0" fontId="11" fillId="10" borderId="70" applyAlignment="1" applyProtection="1" pivotButton="0" quotePrefix="0" xfId="0">
      <alignment horizontal="center" vertical="center"/>
      <protection locked="1" hidden="1"/>
    </xf>
    <xf numFmtId="0" fontId="29" fillId="0" borderId="70" applyAlignment="1" applyProtection="1" pivotButton="0" quotePrefix="0" xfId="0">
      <alignment horizontal="center" vertical="center"/>
      <protection locked="1" hidden="1"/>
    </xf>
    <xf numFmtId="0" fontId="29" fillId="0" borderId="71" applyAlignment="1" applyProtection="1" pivotButton="0" quotePrefix="0" xfId="0">
      <alignment horizontal="center" vertical="center"/>
      <protection locked="1" hidden="1"/>
    </xf>
    <xf numFmtId="0" fontId="29" fillId="7" borderId="69" applyAlignment="1" applyProtection="1" pivotButton="0" quotePrefix="0" xfId="0">
      <alignment horizontal="center" vertical="center"/>
      <protection locked="1" hidden="1"/>
    </xf>
    <xf numFmtId="0" fontId="29" fillId="7" borderId="70" applyAlignment="1" applyProtection="1" pivotButton="0" quotePrefix="0" xfId="0">
      <alignment horizontal="center" vertical="center"/>
      <protection locked="1" hidden="1"/>
    </xf>
    <xf numFmtId="0" fontId="29" fillId="7" borderId="71" applyAlignment="1" applyProtection="1" pivotButton="0" quotePrefix="0" xfId="0">
      <alignment horizontal="center" vertical="center"/>
      <protection locked="1" hidden="1"/>
    </xf>
    <xf numFmtId="0" fontId="20" fillId="12" borderId="70" applyAlignment="1" applyProtection="1" pivotButton="0" quotePrefix="0" xfId="0">
      <alignment horizontal="center" vertical="center"/>
      <protection locked="1" hidden="1"/>
    </xf>
    <xf numFmtId="0" fontId="29" fillId="7" borderId="60" applyAlignment="1" applyProtection="1" pivotButton="0" quotePrefix="0" xfId="0">
      <alignment horizontal="center" vertical="center"/>
      <protection locked="1" hidden="1"/>
    </xf>
    <xf numFmtId="0" fontId="29" fillId="7" borderId="61" applyAlignment="1" applyProtection="1" pivotButton="0" quotePrefix="0" xfId="0">
      <alignment horizontal="center" vertical="center"/>
      <protection locked="1" hidden="1"/>
    </xf>
    <xf numFmtId="0" fontId="29" fillId="7" borderId="62" applyAlignment="1" applyProtection="1" pivotButton="0" quotePrefix="0" xfId="0">
      <alignment horizontal="center" vertical="center"/>
      <protection locked="1" hidden="1"/>
    </xf>
    <xf numFmtId="0" fontId="30" fillId="5" borderId="57" applyAlignment="1" applyProtection="1" pivotButton="0" quotePrefix="0" xfId="0">
      <alignment horizontal="center" vertical="center"/>
      <protection locked="1" hidden="1"/>
    </xf>
    <xf numFmtId="0" fontId="30" fillId="5" borderId="58" applyAlignment="1" applyProtection="1" pivotButton="0" quotePrefix="0" xfId="0">
      <alignment horizontal="center" vertical="center"/>
      <protection locked="1" hidden="1"/>
    </xf>
    <xf numFmtId="0" fontId="30" fillId="5" borderId="59" applyAlignment="1" applyProtection="1" pivotButton="0" quotePrefix="0" xfId="0">
      <alignment horizontal="center" vertical="center"/>
      <protection locked="1" hidden="1"/>
    </xf>
    <xf numFmtId="0" fontId="30" fillId="8" borderId="69" applyAlignment="1" applyProtection="1" pivotButton="0" quotePrefix="0" xfId="0">
      <alignment horizontal="center" vertical="center"/>
      <protection locked="1" hidden="1"/>
    </xf>
    <xf numFmtId="0" fontId="30" fillId="8" borderId="70" applyAlignment="1" applyProtection="1" pivotButton="0" quotePrefix="0" xfId="0">
      <alignment horizontal="center" vertical="center"/>
      <protection locked="1" hidden="1"/>
    </xf>
    <xf numFmtId="0" fontId="30" fillId="8" borderId="71" applyAlignment="1" applyProtection="1" pivotButton="0" quotePrefix="0" xfId="0">
      <alignment horizontal="center" vertical="center"/>
      <protection locked="1" hidden="1"/>
    </xf>
    <xf numFmtId="0" fontId="30" fillId="9" borderId="60" applyAlignment="1" applyProtection="1" pivotButton="0" quotePrefix="0" xfId="0">
      <alignment horizontal="center" vertical="center"/>
      <protection locked="1" hidden="1"/>
    </xf>
    <xf numFmtId="0" fontId="30" fillId="9" borderId="61" applyAlignment="1" applyProtection="1" pivotButton="0" quotePrefix="0" xfId="0">
      <alignment horizontal="center" vertical="center"/>
      <protection locked="1" hidden="1"/>
    </xf>
    <xf numFmtId="0" fontId="30" fillId="9" borderId="62" applyAlignment="1" applyProtection="1" pivotButton="0" quotePrefix="0" xfId="0">
      <alignment horizontal="center" vertical="center"/>
      <protection locked="1" hidden="1"/>
    </xf>
    <xf numFmtId="0" fontId="29" fillId="0" borderId="0" applyAlignment="1" applyProtection="1" pivotButton="0" quotePrefix="0" xfId="0">
      <alignment horizontal="center" vertical="center"/>
      <protection locked="1" hidden="1"/>
    </xf>
    <xf numFmtId="0" fontId="29" fillId="7" borderId="0" applyAlignment="1" applyProtection="1" pivotButton="0" quotePrefix="0" xfId="0">
      <alignment horizontal="center" vertical="center"/>
      <protection locked="1" hidden="1"/>
    </xf>
    <xf numFmtId="0" fontId="29" fillId="13" borderId="69" applyAlignment="1" applyProtection="1" pivotButton="0" quotePrefix="0" xfId="0">
      <alignment horizontal="center" vertical="center"/>
      <protection locked="1" hidden="1"/>
    </xf>
    <xf numFmtId="0" fontId="29" fillId="13" borderId="70" applyAlignment="1" applyProtection="1" pivotButton="0" quotePrefix="0" xfId="0">
      <alignment horizontal="center" vertical="center"/>
      <protection locked="1" hidden="1"/>
    </xf>
    <xf numFmtId="0" fontId="31" fillId="13" borderId="71" applyAlignment="1" applyProtection="1" pivotButton="0" quotePrefix="0" xfId="0">
      <alignment horizontal="left" vertical="center"/>
      <protection locked="1" hidden="1"/>
    </xf>
    <xf numFmtId="0" fontId="32" fillId="7" borderId="71" applyAlignment="1" applyProtection="1" pivotButton="0" quotePrefix="0" xfId="0">
      <alignment horizontal="left" vertical="center"/>
      <protection locked="1" hidden="1"/>
    </xf>
    <xf numFmtId="0" fontId="32" fillId="0" borderId="71" applyAlignment="1" applyProtection="1" pivotButton="0" quotePrefix="0" xfId="0">
      <alignment horizontal="left" vertical="center"/>
      <protection locked="1" hidden="1"/>
    </xf>
    <xf numFmtId="0" fontId="29" fillId="14" borderId="69" applyAlignment="1" applyProtection="1" pivotButton="0" quotePrefix="0" xfId="0">
      <alignment horizontal="center" vertical="center"/>
      <protection locked="1" hidden="1"/>
    </xf>
    <xf numFmtId="0" fontId="29" fillId="14" borderId="70" applyAlignment="1" applyProtection="1" pivotButton="0" quotePrefix="0" xfId="0">
      <alignment horizontal="center" vertical="center"/>
      <protection locked="1" hidden="1"/>
    </xf>
    <xf numFmtId="0" fontId="33" fillId="14" borderId="71" applyAlignment="1" applyProtection="1" pivotButton="0" quotePrefix="0" xfId="0">
      <alignment horizontal="left" vertical="center"/>
      <protection locked="1" hidden="1"/>
    </xf>
    <xf numFmtId="0" fontId="32" fillId="7" borderId="62" applyAlignment="1" applyProtection="1" pivotButton="0" quotePrefix="0" xfId="0">
      <alignment horizontal="left" vertical="center"/>
      <protection locked="1" hidden="1"/>
    </xf>
    <xf numFmtId="0" fontId="29" fillId="8" borderId="69" applyAlignment="1" applyProtection="1" pivotButton="0" quotePrefix="0" xfId="0">
      <alignment horizontal="center" vertical="center"/>
      <protection locked="1" hidden="1"/>
    </xf>
    <xf numFmtId="0" fontId="29" fillId="8" borderId="70" applyAlignment="1" applyProtection="1" pivotButton="0" quotePrefix="0" xfId="0">
      <alignment horizontal="center" vertical="center"/>
      <protection locked="1" hidden="1"/>
    </xf>
    <xf numFmtId="0" fontId="31" fillId="8" borderId="71" applyAlignment="1" applyProtection="1" pivotButton="0" quotePrefix="0" xfId="0">
      <alignment horizontal="left" vertical="center"/>
      <protection locked="1" hidden="1"/>
    </xf>
    <xf numFmtId="0" fontId="29" fillId="11" borderId="69" applyAlignment="1" applyProtection="1" pivotButton="0" quotePrefix="0" xfId="0">
      <alignment horizontal="center" vertical="center"/>
      <protection locked="1" hidden="1"/>
    </xf>
    <xf numFmtId="0" fontId="29" fillId="11" borderId="70" applyAlignment="1" applyProtection="1" pivotButton="0" quotePrefix="0" xfId="0">
      <alignment horizontal="center" vertical="center"/>
      <protection locked="1" hidden="1"/>
    </xf>
    <xf numFmtId="0" fontId="33" fillId="11" borderId="71" applyAlignment="1" applyProtection="1" pivotButton="0" quotePrefix="0" xfId="0">
      <alignment horizontal="left" vertical="center"/>
      <protection locked="1" hidden="1"/>
    </xf>
    <xf numFmtId="0" fontId="34" fillId="8" borderId="69" applyAlignment="1" applyProtection="1" pivotButton="0" quotePrefix="0" xfId="0">
      <alignment horizontal="center" vertical="center"/>
      <protection locked="1" hidden="1"/>
    </xf>
    <xf numFmtId="0" fontId="34" fillId="8" borderId="70" applyAlignment="1" applyProtection="1" pivotButton="0" quotePrefix="0" xfId="0">
      <alignment horizontal="center" vertical="center"/>
      <protection locked="1" hidden="1"/>
    </xf>
    <xf numFmtId="164" fontId="34" fillId="8" borderId="70" applyAlignment="1" applyProtection="1" pivotButton="0" quotePrefix="0" xfId="0">
      <alignment horizontal="center" vertical="center"/>
      <protection locked="1" hidden="1"/>
    </xf>
    <xf numFmtId="0" fontId="35" fillId="8" borderId="71" applyAlignment="1" applyProtection="1" pivotButton="0" quotePrefix="0" xfId="0">
      <alignment horizontal="left" vertical="center"/>
      <protection locked="1" hidden="1"/>
    </xf>
    <xf numFmtId="0" fontId="34" fillId="7" borderId="69" applyAlignment="1" applyProtection="1" pivotButton="0" quotePrefix="0" xfId="0">
      <alignment horizontal="center" vertical="center"/>
      <protection locked="1" hidden="1"/>
    </xf>
    <xf numFmtId="0" fontId="34" fillId="7" borderId="70" applyAlignment="1" applyProtection="1" pivotButton="0" quotePrefix="0" xfId="0">
      <alignment horizontal="center" vertical="center"/>
      <protection locked="1" hidden="1"/>
    </xf>
    <xf numFmtId="164" fontId="34" fillId="7" borderId="70" applyAlignment="1" applyProtection="1" pivotButton="0" quotePrefix="0" xfId="0">
      <alignment horizontal="center" vertical="center"/>
      <protection locked="1" hidden="1"/>
    </xf>
    <xf numFmtId="0" fontId="36" fillId="7" borderId="71" applyAlignment="1" applyProtection="1" pivotButton="0" quotePrefix="0" xfId="0">
      <alignment horizontal="left" vertical="center"/>
      <protection locked="1" hidden="1"/>
    </xf>
    <xf numFmtId="0" fontId="34" fillId="0" borderId="69" applyAlignment="1" applyProtection="1" pivotButton="0" quotePrefix="0" xfId="0">
      <alignment horizontal="center" vertical="center"/>
      <protection locked="1" hidden="1"/>
    </xf>
    <xf numFmtId="0" fontId="34" fillId="0" borderId="70" applyAlignment="1" applyProtection="1" pivotButton="0" quotePrefix="0" xfId="0">
      <alignment horizontal="center" vertical="center"/>
      <protection locked="1" hidden="1"/>
    </xf>
    <xf numFmtId="164" fontId="34" fillId="0" borderId="70" applyAlignment="1" applyProtection="1" pivotButton="0" quotePrefix="0" xfId="0">
      <alignment horizontal="center" vertical="center"/>
      <protection locked="1" hidden="1"/>
    </xf>
    <xf numFmtId="0" fontId="36" fillId="0" borderId="71" applyAlignment="1" applyProtection="1" pivotButton="0" quotePrefix="0" xfId="0">
      <alignment horizontal="left" vertical="center"/>
      <protection locked="1" hidden="1"/>
    </xf>
    <xf numFmtId="0" fontId="34" fillId="11" borderId="69" applyAlignment="1" applyProtection="1" pivotButton="0" quotePrefix="0" xfId="0">
      <alignment horizontal="center" vertical="center"/>
      <protection locked="1" hidden="1"/>
    </xf>
    <xf numFmtId="0" fontId="34" fillId="11" borderId="70" applyAlignment="1" applyProtection="1" pivotButton="0" quotePrefix="0" xfId="0">
      <alignment horizontal="center" vertical="center"/>
      <protection locked="1" hidden="1"/>
    </xf>
    <xf numFmtId="164" fontId="34" fillId="11" borderId="70" applyAlignment="1" applyProtection="1" pivotButton="0" quotePrefix="0" xfId="0">
      <alignment horizontal="center" vertical="center"/>
      <protection locked="1" hidden="1"/>
    </xf>
    <xf numFmtId="0" fontId="31" fillId="12" borderId="70" applyAlignment="1" applyProtection="1" pivotButton="0" quotePrefix="0" xfId="0">
      <alignment horizontal="center" vertical="center"/>
      <protection locked="1" hidden="1"/>
    </xf>
    <xf numFmtId="164" fontId="31" fillId="12" borderId="70" applyAlignment="1" applyProtection="1" pivotButton="0" quotePrefix="0" xfId="0">
      <alignment horizontal="center" vertical="center"/>
      <protection locked="1" hidden="1"/>
    </xf>
    <xf numFmtId="0" fontId="37" fillId="11" borderId="71" applyAlignment="1" applyProtection="1" pivotButton="0" quotePrefix="0" xfId="0">
      <alignment horizontal="left" vertical="center"/>
      <protection locked="1" hidden="1"/>
    </xf>
    <xf numFmtId="0" fontId="33" fillId="10" borderId="70" applyAlignment="1" applyProtection="1" pivotButton="0" quotePrefix="0" xfId="0">
      <alignment horizontal="center" vertical="center"/>
      <protection locked="1" hidden="1"/>
    </xf>
    <xf numFmtId="164" fontId="33" fillId="10" borderId="70" applyAlignment="1" applyProtection="1" pivotButton="0" quotePrefix="0" xfId="0">
      <alignment horizontal="center" vertical="center"/>
      <protection locked="1" hidden="1"/>
    </xf>
    <xf numFmtId="0" fontId="34" fillId="7" borderId="60" applyAlignment="1" applyProtection="1" pivotButton="0" quotePrefix="0" xfId="0">
      <alignment horizontal="center" vertical="center"/>
      <protection locked="1" hidden="1"/>
    </xf>
    <xf numFmtId="0" fontId="34" fillId="7" borderId="61" applyAlignment="1" applyProtection="1" pivotButton="0" quotePrefix="0" xfId="0">
      <alignment horizontal="center" vertical="center"/>
      <protection locked="1" hidden="1"/>
    </xf>
    <xf numFmtId="164" fontId="34" fillId="7" borderId="61" applyAlignment="1" applyProtection="1" pivotButton="0" quotePrefix="0" xfId="0">
      <alignment horizontal="center" vertical="center"/>
      <protection locked="1" hidden="1"/>
    </xf>
    <xf numFmtId="0" fontId="36" fillId="7" borderId="62" applyAlignment="1" applyProtection="1" pivotButton="0" quotePrefix="0" xfId="0">
      <alignment horizontal="left" vertical="center"/>
      <protection locked="1" hidden="1"/>
    </xf>
    <xf numFmtId="0" fontId="17" fillId="5" borderId="57" applyAlignment="1" applyProtection="1" pivotButton="0" quotePrefix="0" xfId="0">
      <alignment horizontal="center" vertical="center"/>
      <protection locked="1" hidden="1"/>
    </xf>
    <xf numFmtId="0" fontId="17" fillId="5" borderId="58" applyAlignment="1" applyProtection="1" pivotButton="0" quotePrefix="0" xfId="0">
      <alignment horizontal="center" vertical="center"/>
      <protection locked="1" hidden="1"/>
    </xf>
    <xf numFmtId="164" fontId="17" fillId="5" borderId="58" applyAlignment="1" applyProtection="1" pivotButton="0" quotePrefix="0" xfId="0">
      <alignment horizontal="center" vertical="center"/>
      <protection locked="1" hidden="1"/>
    </xf>
    <xf numFmtId="0" fontId="17" fillId="5" borderId="59" applyAlignment="1" applyProtection="1" pivotButton="0" quotePrefix="0" xfId="0">
      <alignment horizontal="center" vertical="center"/>
      <protection locked="1" hidden="1"/>
    </xf>
    <xf numFmtId="0" fontId="17" fillId="8" borderId="69" applyAlignment="1" applyProtection="1" pivotButton="0" quotePrefix="0" xfId="0">
      <alignment horizontal="center" vertical="center"/>
      <protection locked="1" hidden="1"/>
    </xf>
    <xf numFmtId="0" fontId="17" fillId="8" borderId="70" applyAlignment="1" applyProtection="1" pivotButton="0" quotePrefix="0" xfId="0">
      <alignment horizontal="center" vertical="center"/>
      <protection locked="1" hidden="1"/>
    </xf>
    <xf numFmtId="164" fontId="17" fillId="8" borderId="70" applyAlignment="1" applyProtection="1" pivotButton="0" quotePrefix="0" xfId="0">
      <alignment horizontal="center" vertical="center"/>
      <protection locked="1" hidden="1"/>
    </xf>
    <xf numFmtId="0" fontId="17" fillId="8" borderId="71" applyAlignment="1" applyProtection="1" pivotButton="0" quotePrefix="0" xfId="0">
      <alignment horizontal="center" vertical="center"/>
      <protection locked="1" hidden="1"/>
    </xf>
    <xf numFmtId="0" fontId="17" fillId="9" borderId="60" applyAlignment="1" applyProtection="1" pivotButton="0" quotePrefix="0" xfId="0">
      <alignment horizontal="center" vertical="center"/>
      <protection locked="1" hidden="1"/>
    </xf>
    <xf numFmtId="0" fontId="17" fillId="9" borderId="61" applyAlignment="1" applyProtection="1" pivotButton="0" quotePrefix="0" xfId="0">
      <alignment horizontal="center" vertical="center"/>
      <protection locked="1" hidden="1"/>
    </xf>
    <xf numFmtId="164" fontId="17" fillId="9" borderId="61" applyAlignment="1" applyProtection="1" pivotButton="0" quotePrefix="0" xfId="0">
      <alignment horizontal="center" vertical="center"/>
      <protection locked="1" hidden="1"/>
    </xf>
    <xf numFmtId="0" fontId="17" fillId="9" borderId="62" applyAlignment="1" applyProtection="1" pivotButton="0" quotePrefix="0" xfId="0">
      <alignment horizontal="center" vertical="center"/>
      <protection locked="1" hidden="1"/>
    </xf>
    <xf numFmtId="0" fontId="38" fillId="0" borderId="0" applyProtection="1" pivotButton="0" quotePrefix="0" xfId="0">
      <protection locked="1" hidden="1"/>
    </xf>
    <xf numFmtId="0" fontId="39" fillId="8" borderId="71" applyAlignment="1" applyProtection="1" pivotButton="0" quotePrefix="0" xfId="0">
      <alignment horizontal="left" vertical="center"/>
      <protection locked="1" hidden="1"/>
    </xf>
    <xf numFmtId="0" fontId="31" fillId="11" borderId="70" applyAlignment="1" applyProtection="1" pivotButton="0" quotePrefix="0" xfId="0">
      <alignment horizontal="center" vertical="center"/>
      <protection locked="1" hidden="1"/>
    </xf>
    <xf numFmtId="164" fontId="31" fillId="11" borderId="70" applyAlignment="1" applyProtection="1" pivotButton="0" quotePrefix="0" xfId="0">
      <alignment horizontal="center" vertical="center"/>
      <protection locked="1" hidden="1"/>
    </xf>
    <xf numFmtId="0" fontId="8" fillId="0" borderId="69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6" fillId="5" borderId="75" applyAlignment="1" pivotButton="0" quotePrefix="0" xfId="0">
      <alignment horizontal="center" vertical="center"/>
    </xf>
    <xf numFmtId="2" fontId="6" fillId="5" borderId="76" applyAlignment="1" pivotButton="0" quotePrefix="0" xfId="0">
      <alignment horizontal="center" vertical="center"/>
    </xf>
    <xf numFmtId="164" fontId="6" fillId="5" borderId="7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34" fillId="0" borderId="69" applyAlignment="1" pivotButton="0" quotePrefix="0" xfId="0">
      <alignment horizontal="center" vertical="center"/>
    </xf>
    <xf numFmtId="0" fontId="34" fillId="0" borderId="70" applyAlignment="1" pivotButton="0" quotePrefix="0" xfId="0">
      <alignment horizontal="center" vertical="center"/>
    </xf>
    <xf numFmtId="164" fontId="34" fillId="0" borderId="70" applyAlignment="1" pivotButton="0" quotePrefix="0" xfId="0">
      <alignment horizontal="center" vertical="center"/>
    </xf>
    <xf numFmtId="0" fontId="39" fillId="0" borderId="71" applyAlignment="1" pivotButton="0" quotePrefix="0" xfId="0">
      <alignment horizontal="left" vertical="center"/>
    </xf>
    <xf numFmtId="0" fontId="0" fillId="0" borderId="91" pivotButton="0" quotePrefix="0" xfId="0"/>
    <xf numFmtId="0" fontId="0" fillId="0" borderId="9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" customWidth="1" min="1" max="1"/>
    <col width="8" customWidth="1" min="2" max="2"/>
    <col width="10" customWidth="1" min="3" max="3"/>
    <col width="8" customWidth="1" min="4" max="4"/>
    <col width="7" customWidth="1" min="5" max="5"/>
    <col width="8" customWidth="1" min="6" max="6"/>
    <col width="7" customWidth="1" min="7" max="7"/>
    <col width="30" customWidth="1" min="8" max="8"/>
    <col width="1" customWidth="1" min="9" max="9"/>
  </cols>
  <sheetData>
    <row r="1" ht="36" customHeight="1">
      <c r="A1" s="1" t="n"/>
      <c r="B1" s="2" t="inlineStr">
        <is>
          <t>📊 CB 月度異動摘要  |  115年5月</t>
        </is>
      </c>
      <c r="C1" s="1" t="n"/>
      <c r="D1" s="1" t="n"/>
      <c r="E1" s="1" t="n"/>
      <c r="F1" s="1" t="n"/>
      <c r="G1" s="1" t="n"/>
      <c r="H1" s="1" t="n"/>
    </row>
    <row r="2" ht="22" customHeight="1">
      <c r="A2" s="1" t="n"/>
      <c r="B2" s="4" t="inlineStr">
        <is>
          <t>近九年(109個月) CB 創新高/新低檔數及佔比變化  |  含重大歷史事件標記</t>
        </is>
      </c>
      <c r="C2" s="1" t="n"/>
      <c r="D2" s="1" t="n"/>
      <c r="E2" s="1" t="n"/>
      <c r="F2" s="1" t="n"/>
      <c r="G2" s="1" t="n"/>
      <c r="H2" s="1" t="n"/>
    </row>
    <row r="3" ht="28" customHeight="1">
      <c r="A3" s="1" t="n"/>
      <c r="B3" s="241" t="inlineStr">
        <is>
          <t>創新高 105 檔 (28.8%)</t>
        </is>
      </c>
      <c r="C3" s="152" t="n"/>
      <c r="D3" s="153" t="n"/>
      <c r="E3" s="242" t="inlineStr">
        <is>
          <t>創新低 45 檔 (12.3)  |  掛牌中 365 檔</t>
        </is>
      </c>
      <c r="F3" s="152" t="n"/>
      <c r="G3" s="152" t="n"/>
      <c r="H3" s="153" t="n"/>
    </row>
    <row r="4" ht="24" customHeight="1">
      <c r="A4" s="1" t="n"/>
      <c r="B4" s="106" t="inlineStr">
        <is>
          <t>月份</t>
        </is>
      </c>
      <c r="C4" s="107" t="inlineStr">
        <is>
          <t>掛牌檔數</t>
        </is>
      </c>
      <c r="D4" s="107" t="inlineStr">
        <is>
          <t>新高</t>
        </is>
      </c>
      <c r="E4" s="107" t="inlineStr">
        <is>
          <t>佔比%</t>
        </is>
      </c>
      <c r="F4" s="107" t="inlineStr">
        <is>
          <t>新低</t>
        </is>
      </c>
      <c r="G4" s="107" t="inlineStr">
        <is>
          <t>佔比%</t>
        </is>
      </c>
      <c r="H4" s="108" t="inlineStr">
        <is>
          <t>重大事件</t>
        </is>
      </c>
    </row>
    <row r="5" ht="17" customHeight="1">
      <c r="B5" s="328" t="inlineStr">
        <is>
          <t>115/05</t>
        </is>
      </c>
      <c r="C5" s="329" t="n">
        <v>365</v>
      </c>
      <c r="D5" s="329" t="n">
        <v>105</v>
      </c>
      <c r="E5" s="330" t="n">
        <v>0.2876712328767123</v>
      </c>
      <c r="F5" s="329" t="n">
        <v>45</v>
      </c>
      <c r="G5" s="330" t="n">
        <v>0.1232876712328767</v>
      </c>
      <c r="H5" s="331" t="inlineStr">
        <is>
          <t>本月 新高105檔</t>
        </is>
      </c>
    </row>
    <row r="6" ht="17" customHeight="1">
      <c r="A6" s="1" t="n"/>
      <c r="B6" s="280" t="inlineStr">
        <is>
          <t>115/04</t>
        </is>
      </c>
      <c r="C6" s="281" t="n">
        <v>370</v>
      </c>
      <c r="D6" s="281" t="n">
        <v>97</v>
      </c>
      <c r="E6" s="282" t="n">
        <v>0.262</v>
      </c>
      <c r="F6" s="281" t="n">
        <v>39</v>
      </c>
      <c r="G6" s="282" t="n">
        <v>0.105</v>
      </c>
      <c r="H6" s="317" t="inlineStr">
        <is>
          <t>新高97檔</t>
        </is>
      </c>
    </row>
    <row r="7" ht="17" customHeight="1">
      <c r="A7" s="1" t="n"/>
      <c r="B7" s="284" t="inlineStr">
        <is>
          <t>115/03</t>
        </is>
      </c>
      <c r="C7" s="285" t="n">
        <v>374</v>
      </c>
      <c r="D7" s="285" t="n">
        <v>63</v>
      </c>
      <c r="E7" s="286" t="n">
        <v>0.168</v>
      </c>
      <c r="F7" s="285" t="n">
        <v>69</v>
      </c>
      <c r="G7" s="286" t="n">
        <v>0.184</v>
      </c>
      <c r="H7" s="287" t="inlineStr"/>
    </row>
    <row r="8" ht="17" customHeight="1">
      <c r="A8" s="1" t="n"/>
      <c r="B8" s="288" t="inlineStr">
        <is>
          <t>115/02</t>
        </is>
      </c>
      <c r="C8" s="289" t="n">
        <v>363</v>
      </c>
      <c r="D8" s="289" t="n">
        <v>42</v>
      </c>
      <c r="E8" s="290" t="n">
        <v>0.116</v>
      </c>
      <c r="F8" s="289" t="n">
        <v>26</v>
      </c>
      <c r="G8" s="290" t="n">
        <v>0.07200000000000001</v>
      </c>
      <c r="H8" s="291" t="inlineStr"/>
    </row>
    <row r="9" ht="17" customHeight="1">
      <c r="A9" s="1" t="n"/>
      <c r="B9" s="284" t="inlineStr">
        <is>
          <t>115/01</t>
        </is>
      </c>
      <c r="C9" s="285" t="n">
        <v>361</v>
      </c>
      <c r="D9" s="285" t="n">
        <v>49</v>
      </c>
      <c r="E9" s="286" t="n">
        <v>0.136</v>
      </c>
      <c r="F9" s="285" t="n">
        <v>33</v>
      </c>
      <c r="G9" s="286" t="n">
        <v>0.091</v>
      </c>
      <c r="H9" s="287" t="inlineStr"/>
    </row>
    <row r="10" ht="17" customHeight="1">
      <c r="A10" s="1" t="n"/>
      <c r="B10" s="288" t="inlineStr">
        <is>
          <t>114/12</t>
        </is>
      </c>
      <c r="C10" s="289" t="n">
        <v>352</v>
      </c>
      <c r="D10" s="289" t="n">
        <v>42</v>
      </c>
      <c r="E10" s="290" t="n">
        <v>0.119</v>
      </c>
      <c r="F10" s="289" t="n">
        <v>25</v>
      </c>
      <c r="G10" s="290" t="n">
        <v>0.07099999999999999</v>
      </c>
      <c r="H10" s="291" t="inlineStr"/>
    </row>
    <row r="11" ht="17" customHeight="1">
      <c r="A11" s="1" t="n"/>
      <c r="B11" s="284" t="inlineStr">
        <is>
          <t>114/11</t>
        </is>
      </c>
      <c r="C11" s="285" t="n">
        <v>350</v>
      </c>
      <c r="D11" s="285" t="n">
        <v>41</v>
      </c>
      <c r="E11" s="286" t="n">
        <v>0.117</v>
      </c>
      <c r="F11" s="285" t="n">
        <v>40</v>
      </c>
      <c r="G11" s="286" t="n">
        <v>0.114</v>
      </c>
      <c r="H11" s="287" t="inlineStr"/>
    </row>
    <row r="12" ht="17" customHeight="1">
      <c r="A12" s="1" t="n"/>
      <c r="B12" s="288" t="inlineStr">
        <is>
          <t>114/10</t>
        </is>
      </c>
      <c r="C12" s="289" t="n">
        <v>355</v>
      </c>
      <c r="D12" s="289" t="n">
        <v>31</v>
      </c>
      <c r="E12" s="290" t="n">
        <v>0.08699999999999999</v>
      </c>
      <c r="F12" s="289" t="n">
        <v>19</v>
      </c>
      <c r="G12" s="290" t="n">
        <v>0.05400000000000001</v>
      </c>
      <c r="H12" s="291" t="inlineStr"/>
    </row>
    <row r="13" ht="17" customHeight="1">
      <c r="A13" s="1" t="n"/>
      <c r="B13" s="284" t="inlineStr">
        <is>
          <t>114/09</t>
        </is>
      </c>
      <c r="C13" s="285" t="n">
        <v>353</v>
      </c>
      <c r="D13" s="285" t="n">
        <v>57</v>
      </c>
      <c r="E13" s="286" t="n">
        <v>0.161</v>
      </c>
      <c r="F13" s="285" t="n">
        <v>13</v>
      </c>
      <c r="G13" s="286" t="n">
        <v>0.03700000000000001</v>
      </c>
      <c r="H13" s="287" t="inlineStr"/>
    </row>
    <row r="14" ht="17" customHeight="1">
      <c r="A14" s="1" t="n"/>
      <c r="B14" s="288" t="inlineStr">
        <is>
          <t>114/08</t>
        </is>
      </c>
      <c r="C14" s="289" t="n">
        <v>354</v>
      </c>
      <c r="D14" s="289" t="n">
        <v>48</v>
      </c>
      <c r="E14" s="290" t="n">
        <v>0.136</v>
      </c>
      <c r="F14" s="289" t="n">
        <v>25</v>
      </c>
      <c r="G14" s="290" t="n">
        <v>0.07099999999999999</v>
      </c>
      <c r="H14" s="291" t="inlineStr"/>
    </row>
    <row r="15" ht="17" customHeight="1">
      <c r="A15" s="1" t="n"/>
      <c r="B15" s="284" t="inlineStr">
        <is>
          <t>114/07</t>
        </is>
      </c>
      <c r="C15" s="285" t="n">
        <v>344</v>
      </c>
      <c r="D15" s="285" t="n">
        <v>33</v>
      </c>
      <c r="E15" s="286" t="n">
        <v>0.096</v>
      </c>
      <c r="F15" s="285" t="n">
        <v>33</v>
      </c>
      <c r="G15" s="286" t="n">
        <v>0.096</v>
      </c>
      <c r="H15" s="287" t="inlineStr"/>
    </row>
    <row r="16" ht="17" customHeight="1">
      <c r="A16" s="1" t="n"/>
      <c r="B16" s="288" t="inlineStr">
        <is>
          <t>114/06</t>
        </is>
      </c>
      <c r="C16" s="289" t="n">
        <v>343</v>
      </c>
      <c r="D16" s="289" t="n">
        <v>23</v>
      </c>
      <c r="E16" s="290" t="n">
        <v>0.067</v>
      </c>
      <c r="F16" s="289" t="n">
        <v>39</v>
      </c>
      <c r="G16" s="290" t="n">
        <v>0.114</v>
      </c>
      <c r="H16" s="291" t="inlineStr"/>
    </row>
    <row r="17" ht="17" customHeight="1">
      <c r="A17" s="1" t="n"/>
      <c r="B17" s="284" t="inlineStr">
        <is>
          <t>114/05</t>
        </is>
      </c>
      <c r="C17" s="285" t="n">
        <v>329</v>
      </c>
      <c r="D17" s="285" t="n">
        <v>7</v>
      </c>
      <c r="E17" s="286" t="n">
        <v>0.021</v>
      </c>
      <c r="F17" s="285" t="n">
        <v>23</v>
      </c>
      <c r="G17" s="286" t="n">
        <v>0.07000000000000001</v>
      </c>
      <c r="H17" s="287" t="inlineStr"/>
    </row>
    <row r="18" ht="17" customHeight="1">
      <c r="A18" s="1" t="n"/>
      <c r="B18" s="292" t="inlineStr">
        <is>
          <t>114/04</t>
        </is>
      </c>
      <c r="C18" s="293" t="n">
        <v>330</v>
      </c>
      <c r="D18" s="293" t="n">
        <v>2</v>
      </c>
      <c r="E18" s="294" t="n">
        <v>0.006</v>
      </c>
      <c r="F18" s="318" t="n">
        <v>197</v>
      </c>
      <c r="G18" s="319" t="n">
        <v>0.597</v>
      </c>
      <c r="H18" s="297" t="inlineStr">
        <is>
          <t>📉川普關稅 新低197檔</t>
        </is>
      </c>
    </row>
    <row r="19" ht="17" customHeight="1">
      <c r="A19" s="1" t="n"/>
      <c r="B19" s="284" t="inlineStr">
        <is>
          <t>114/03</t>
        </is>
      </c>
      <c r="C19" s="285" t="n">
        <v>338</v>
      </c>
      <c r="D19" s="285" t="n">
        <v>20</v>
      </c>
      <c r="E19" s="286" t="n">
        <v>0.059</v>
      </c>
      <c r="F19" s="285" t="n">
        <v>55</v>
      </c>
      <c r="G19" s="286" t="n">
        <v>0.163</v>
      </c>
      <c r="H19" s="287" t="inlineStr"/>
    </row>
    <row r="20" ht="17" customHeight="1">
      <c r="A20" s="1" t="n"/>
      <c r="B20" s="288" t="inlineStr">
        <is>
          <t>114/02</t>
        </is>
      </c>
      <c r="C20" s="289" t="n">
        <v>337</v>
      </c>
      <c r="D20" s="289" t="n">
        <v>53</v>
      </c>
      <c r="E20" s="290" t="n">
        <v>0.157</v>
      </c>
      <c r="F20" s="289" t="n">
        <v>36</v>
      </c>
      <c r="G20" s="290" t="n">
        <v>0.107</v>
      </c>
      <c r="H20" s="291" t="inlineStr"/>
    </row>
    <row r="21" ht="17" customHeight="1">
      <c r="A21" s="1" t="n"/>
      <c r="B21" s="284" t="inlineStr">
        <is>
          <t>114/01</t>
        </is>
      </c>
      <c r="C21" s="285" t="n">
        <v>341</v>
      </c>
      <c r="D21" s="285" t="n">
        <v>16</v>
      </c>
      <c r="E21" s="286" t="n">
        <v>0.047</v>
      </c>
      <c r="F21" s="285" t="n">
        <v>54</v>
      </c>
      <c r="G21" s="286" t="n">
        <v>0.158</v>
      </c>
      <c r="H21" s="287" t="inlineStr"/>
    </row>
    <row r="22" ht="17" customHeight="1">
      <c r="A22" s="1" t="n"/>
      <c r="B22" s="288" t="inlineStr">
        <is>
          <t>113/12</t>
        </is>
      </c>
      <c r="C22" s="289" t="n">
        <v>342</v>
      </c>
      <c r="D22" s="289" t="n">
        <v>32</v>
      </c>
      <c r="E22" s="290" t="n">
        <v>0.094</v>
      </c>
      <c r="F22" s="289" t="n">
        <v>94</v>
      </c>
      <c r="G22" s="290" t="n">
        <v>0.275</v>
      </c>
      <c r="H22" s="291" t="inlineStr"/>
    </row>
    <row r="23" ht="17" customHeight="1">
      <c r="A23" s="1" t="n"/>
      <c r="B23" s="284" t="inlineStr">
        <is>
          <t>113/11</t>
        </is>
      </c>
      <c r="C23" s="285" t="n">
        <v>339</v>
      </c>
      <c r="D23" s="285" t="n">
        <v>14</v>
      </c>
      <c r="E23" s="286" t="n">
        <v>0.04099999999999999</v>
      </c>
      <c r="F23" s="285" t="n">
        <v>90</v>
      </c>
      <c r="G23" s="286" t="n">
        <v>0.265</v>
      </c>
      <c r="H23" s="287" t="inlineStr"/>
    </row>
    <row r="24" ht="17" customHeight="1">
      <c r="A24" s="1" t="n"/>
      <c r="B24" s="288" t="inlineStr">
        <is>
          <t>113/10</t>
        </is>
      </c>
      <c r="C24" s="289" t="n">
        <v>331</v>
      </c>
      <c r="D24" s="289" t="n">
        <v>32</v>
      </c>
      <c r="E24" s="290" t="n">
        <v>0.09699999999999999</v>
      </c>
      <c r="F24" s="289" t="n">
        <v>43</v>
      </c>
      <c r="G24" s="290" t="n">
        <v>0.13</v>
      </c>
      <c r="H24" s="291" t="inlineStr"/>
    </row>
    <row r="25" ht="17" customHeight="1">
      <c r="A25" s="1" t="n"/>
      <c r="B25" s="284" t="inlineStr">
        <is>
          <t>113/09</t>
        </is>
      </c>
      <c r="C25" s="285" t="n">
        <v>326</v>
      </c>
      <c r="D25" s="285" t="n">
        <v>48</v>
      </c>
      <c r="E25" s="286" t="n">
        <v>0.147</v>
      </c>
      <c r="F25" s="285" t="n">
        <v>33</v>
      </c>
      <c r="G25" s="286" t="n">
        <v>0.101</v>
      </c>
      <c r="H25" s="287" t="inlineStr"/>
    </row>
    <row r="26" ht="17" customHeight="1">
      <c r="A26" s="1" t="n"/>
      <c r="B26" s="288" t="inlineStr">
        <is>
          <t>113/08</t>
        </is>
      </c>
      <c r="C26" s="289" t="n">
        <v>321</v>
      </c>
      <c r="D26" s="289" t="n">
        <v>41</v>
      </c>
      <c r="E26" s="290" t="n">
        <v>0.128</v>
      </c>
      <c r="F26" s="289" t="n">
        <v>53</v>
      </c>
      <c r="G26" s="290" t="n">
        <v>0.165</v>
      </c>
      <c r="H26" s="291" t="inlineStr"/>
    </row>
    <row r="27" ht="17" customHeight="1">
      <c r="A27" s="1" t="n"/>
      <c r="B27" s="284" t="inlineStr">
        <is>
          <t>113/07</t>
        </is>
      </c>
      <c r="C27" s="285" t="n">
        <v>314</v>
      </c>
      <c r="D27" s="285" t="n">
        <v>82</v>
      </c>
      <c r="E27" s="286" t="n">
        <v>0.261</v>
      </c>
      <c r="F27" s="285" t="n">
        <v>15</v>
      </c>
      <c r="G27" s="286" t="n">
        <v>0.048</v>
      </c>
      <c r="H27" s="287" t="inlineStr"/>
    </row>
    <row r="28" ht="17" customHeight="1">
      <c r="A28" s="1" t="n"/>
      <c r="B28" s="288" t="inlineStr">
        <is>
          <t>113/06</t>
        </is>
      </c>
      <c r="C28" s="289" t="n">
        <v>307</v>
      </c>
      <c r="D28" s="289" t="n">
        <v>65</v>
      </c>
      <c r="E28" s="290" t="n">
        <v>0.212</v>
      </c>
      <c r="F28" s="289" t="n">
        <v>12</v>
      </c>
      <c r="G28" s="290" t="n">
        <v>0.039</v>
      </c>
      <c r="H28" s="291" t="inlineStr"/>
    </row>
    <row r="29" ht="17" customHeight="1">
      <c r="A29" s="1" t="n"/>
      <c r="B29" s="284" t="inlineStr">
        <is>
          <t>113/05</t>
        </is>
      </c>
      <c r="C29" s="285" t="n">
        <v>304</v>
      </c>
      <c r="D29" s="285" t="n">
        <v>68</v>
      </c>
      <c r="E29" s="286" t="n">
        <v>0.224</v>
      </c>
      <c r="F29" s="285" t="n">
        <v>14</v>
      </c>
      <c r="G29" s="286" t="n">
        <v>0.046</v>
      </c>
      <c r="H29" s="287" t="inlineStr"/>
    </row>
    <row r="30" ht="17" customHeight="1">
      <c r="A30" s="1" t="n"/>
      <c r="B30" s="288" t="inlineStr">
        <is>
          <t>113/04</t>
        </is>
      </c>
      <c r="C30" s="289" t="n">
        <v>296</v>
      </c>
      <c r="D30" s="289" t="n">
        <v>75</v>
      </c>
      <c r="E30" s="290" t="n">
        <v>0.253</v>
      </c>
      <c r="F30" s="289" t="n">
        <v>17</v>
      </c>
      <c r="G30" s="290" t="n">
        <v>0.057</v>
      </c>
      <c r="H30" s="291" t="inlineStr"/>
    </row>
    <row r="31" ht="17" customHeight="1">
      <c r="A31" s="1" t="n"/>
      <c r="B31" s="280" t="inlineStr">
        <is>
          <t>113/03</t>
        </is>
      </c>
      <c r="C31" s="281" t="n">
        <v>306</v>
      </c>
      <c r="D31" s="281" t="n">
        <v>93</v>
      </c>
      <c r="E31" s="282" t="n">
        <v>0.304</v>
      </c>
      <c r="F31" s="281" t="n">
        <v>19</v>
      </c>
      <c r="G31" s="282" t="n">
        <v>0.062</v>
      </c>
      <c r="H31" s="317" t="inlineStr">
        <is>
          <t>新高93檔</t>
        </is>
      </c>
    </row>
    <row r="32" ht="17" customHeight="1">
      <c r="A32" s="1" t="n"/>
      <c r="B32" s="288" t="inlineStr">
        <is>
          <t>113/02</t>
        </is>
      </c>
      <c r="C32" s="289" t="n">
        <v>304</v>
      </c>
      <c r="D32" s="289" t="n">
        <v>83</v>
      </c>
      <c r="E32" s="290" t="n">
        <v>0.273</v>
      </c>
      <c r="F32" s="289" t="n">
        <v>16</v>
      </c>
      <c r="G32" s="290" t="n">
        <v>0.053</v>
      </c>
      <c r="H32" s="291" t="inlineStr"/>
    </row>
    <row r="33" ht="17" customHeight="1">
      <c r="A33" s="1" t="n"/>
      <c r="B33" s="284" t="inlineStr">
        <is>
          <t>113/01</t>
        </is>
      </c>
      <c r="C33" s="285" t="n">
        <v>310</v>
      </c>
      <c r="D33" s="285" t="n">
        <v>31</v>
      </c>
      <c r="E33" s="286" t="n">
        <v>0.1</v>
      </c>
      <c r="F33" s="285" t="n">
        <v>20</v>
      </c>
      <c r="G33" s="286" t="n">
        <v>0.065</v>
      </c>
      <c r="H33" s="287" t="inlineStr"/>
    </row>
    <row r="34" ht="17" customHeight="1">
      <c r="A34" s="1" t="n"/>
      <c r="B34" s="288" t="inlineStr">
        <is>
          <t>112/12</t>
        </is>
      </c>
      <c r="C34" s="289" t="n">
        <v>312</v>
      </c>
      <c r="D34" s="289" t="n">
        <v>55</v>
      </c>
      <c r="E34" s="290" t="n">
        <v>0.176</v>
      </c>
      <c r="F34" s="289" t="n">
        <v>13</v>
      </c>
      <c r="G34" s="290" t="n">
        <v>0.042</v>
      </c>
      <c r="H34" s="291" t="inlineStr"/>
    </row>
    <row r="35" ht="17" customHeight="1">
      <c r="A35" s="1" t="n"/>
      <c r="B35" s="284" t="inlineStr">
        <is>
          <t>112/11</t>
        </is>
      </c>
      <c r="C35" s="285" t="n">
        <v>308</v>
      </c>
      <c r="D35" s="285" t="n">
        <v>35</v>
      </c>
      <c r="E35" s="286" t="n">
        <v>0.114</v>
      </c>
      <c r="F35" s="285" t="n">
        <v>31</v>
      </c>
      <c r="G35" s="286" t="n">
        <v>0.101</v>
      </c>
      <c r="H35" s="287" t="inlineStr"/>
    </row>
    <row r="36" ht="17" customHeight="1">
      <c r="A36" s="1" t="n"/>
      <c r="B36" s="288" t="inlineStr">
        <is>
          <t>112/10</t>
        </is>
      </c>
      <c r="C36" s="289" t="n">
        <v>311</v>
      </c>
      <c r="D36" s="289" t="n">
        <v>25</v>
      </c>
      <c r="E36" s="290" t="n">
        <v>0.08</v>
      </c>
      <c r="F36" s="289" t="n">
        <v>23</v>
      </c>
      <c r="G36" s="290" t="n">
        <v>0.07400000000000001</v>
      </c>
      <c r="H36" s="291" t="inlineStr"/>
    </row>
    <row r="37" ht="17" customHeight="1">
      <c r="A37" s="1" t="n"/>
      <c r="B37" s="284" t="inlineStr">
        <is>
          <t>112/09</t>
        </is>
      </c>
      <c r="C37" s="285" t="n">
        <v>316</v>
      </c>
      <c r="D37" s="285" t="n">
        <v>39</v>
      </c>
      <c r="E37" s="286" t="n">
        <v>0.123</v>
      </c>
      <c r="F37" s="285" t="n">
        <v>21</v>
      </c>
      <c r="G37" s="286" t="n">
        <v>0.066</v>
      </c>
      <c r="H37" s="287" t="inlineStr"/>
    </row>
    <row r="38" ht="17" customHeight="1">
      <c r="A38" s="1" t="n"/>
      <c r="B38" s="288" t="inlineStr">
        <is>
          <t>112/08</t>
        </is>
      </c>
      <c r="C38" s="289" t="n">
        <v>320</v>
      </c>
      <c r="D38" s="289" t="n">
        <v>36</v>
      </c>
      <c r="E38" s="290" t="n">
        <v>0.112</v>
      </c>
      <c r="F38" s="289" t="n">
        <v>32</v>
      </c>
      <c r="G38" s="290" t="n">
        <v>0.1</v>
      </c>
      <c r="H38" s="291" t="inlineStr"/>
    </row>
    <row r="39" ht="17" customHeight="1">
      <c r="A39" s="1" t="n"/>
      <c r="B39" s="284" t="inlineStr">
        <is>
          <t>112/07</t>
        </is>
      </c>
      <c r="C39" s="285" t="n">
        <v>319</v>
      </c>
      <c r="D39" s="285" t="n">
        <v>77</v>
      </c>
      <c r="E39" s="286" t="n">
        <v>0.241</v>
      </c>
      <c r="F39" s="285" t="n">
        <v>19</v>
      </c>
      <c r="G39" s="286" t="n">
        <v>0.06</v>
      </c>
      <c r="H39" s="287" t="inlineStr"/>
    </row>
    <row r="40" ht="17" customHeight="1">
      <c r="A40" s="1" t="n"/>
      <c r="B40" s="288" t="inlineStr">
        <is>
          <t>112/06</t>
        </is>
      </c>
      <c r="C40" s="289" t="n">
        <v>315</v>
      </c>
      <c r="D40" s="289" t="n">
        <v>66</v>
      </c>
      <c r="E40" s="290" t="n">
        <v>0.21</v>
      </c>
      <c r="F40" s="289" t="n">
        <v>10</v>
      </c>
      <c r="G40" s="290" t="n">
        <v>0.032</v>
      </c>
      <c r="H40" s="291" t="inlineStr"/>
    </row>
    <row r="41" ht="17" customHeight="1">
      <c r="A41" s="1" t="n"/>
      <c r="B41" s="284" t="inlineStr">
        <is>
          <t>112/05</t>
        </is>
      </c>
      <c r="C41" s="285" t="n">
        <v>302</v>
      </c>
      <c r="D41" s="285" t="n">
        <v>41</v>
      </c>
      <c r="E41" s="286" t="n">
        <v>0.136</v>
      </c>
      <c r="F41" s="285" t="n">
        <v>18</v>
      </c>
      <c r="G41" s="286" t="n">
        <v>0.06</v>
      </c>
      <c r="H41" s="287" t="inlineStr"/>
    </row>
    <row r="42" ht="17" customHeight="1">
      <c r="A42" s="1" t="n"/>
      <c r="B42" s="288" t="inlineStr">
        <is>
          <t>112/04</t>
        </is>
      </c>
      <c r="C42" s="289" t="n">
        <v>294</v>
      </c>
      <c r="D42" s="289" t="n">
        <v>54</v>
      </c>
      <c r="E42" s="290" t="n">
        <v>0.184</v>
      </c>
      <c r="F42" s="289" t="n">
        <v>4</v>
      </c>
      <c r="G42" s="290" t="n">
        <v>0.014</v>
      </c>
      <c r="H42" s="291" t="inlineStr"/>
    </row>
    <row r="43" ht="17" customHeight="1">
      <c r="A43" s="1" t="n"/>
      <c r="B43" s="284" t="inlineStr">
        <is>
          <t>112/03</t>
        </is>
      </c>
      <c r="C43" s="285" t="n">
        <v>292</v>
      </c>
      <c r="D43" s="285" t="n">
        <v>64</v>
      </c>
      <c r="E43" s="286" t="n">
        <v>0.219</v>
      </c>
      <c r="F43" s="285" t="n">
        <v>5</v>
      </c>
      <c r="G43" s="286" t="n">
        <v>0.017</v>
      </c>
      <c r="H43" s="287" t="inlineStr"/>
    </row>
    <row r="44" ht="17" customHeight="1">
      <c r="A44" s="1" t="n"/>
      <c r="B44" s="288" t="inlineStr">
        <is>
          <t>112/02</t>
        </is>
      </c>
      <c r="C44" s="289" t="n">
        <v>292</v>
      </c>
      <c r="D44" s="289" t="n">
        <v>63</v>
      </c>
      <c r="E44" s="290" t="n">
        <v>0.216</v>
      </c>
      <c r="F44" s="289" t="n">
        <v>12</v>
      </c>
      <c r="G44" s="290" t="n">
        <v>0.04099999999999999</v>
      </c>
      <c r="H44" s="291" t="inlineStr"/>
    </row>
    <row r="45" ht="17" customHeight="1">
      <c r="A45" s="1" t="n"/>
      <c r="B45" s="284" t="inlineStr">
        <is>
          <t>112/01</t>
        </is>
      </c>
      <c r="C45" s="285" t="n">
        <v>293</v>
      </c>
      <c r="D45" s="285" t="n">
        <v>17</v>
      </c>
      <c r="E45" s="286" t="n">
        <v>0.058</v>
      </c>
      <c r="F45" s="285" t="n">
        <v>15</v>
      </c>
      <c r="G45" s="286" t="n">
        <v>0.051</v>
      </c>
      <c r="H45" s="287" t="inlineStr"/>
    </row>
    <row r="46" ht="17" customHeight="1">
      <c r="A46" s="1" t="n"/>
      <c r="B46" s="288" t="inlineStr">
        <is>
          <t>111/12</t>
        </is>
      </c>
      <c r="C46" s="289" t="n">
        <v>302</v>
      </c>
      <c r="D46" s="289" t="n">
        <v>33</v>
      </c>
      <c r="E46" s="290" t="n">
        <v>0.109</v>
      </c>
      <c r="F46" s="289" t="n">
        <v>32</v>
      </c>
      <c r="G46" s="290" t="n">
        <v>0.106</v>
      </c>
      <c r="H46" s="291" t="inlineStr"/>
    </row>
    <row r="47" ht="17" customHeight="1">
      <c r="A47" s="1" t="n"/>
      <c r="B47" s="284" t="inlineStr">
        <is>
          <t>111/11</t>
        </is>
      </c>
      <c r="C47" s="285" t="n">
        <v>303</v>
      </c>
      <c r="D47" s="285" t="n">
        <v>21</v>
      </c>
      <c r="E47" s="286" t="n">
        <v>0.06900000000000001</v>
      </c>
      <c r="F47" s="285" t="n">
        <v>51</v>
      </c>
      <c r="G47" s="286" t="n">
        <v>0.168</v>
      </c>
      <c r="H47" s="287" t="inlineStr"/>
    </row>
    <row r="48" ht="17" customHeight="1">
      <c r="A48" s="1" t="n"/>
      <c r="B48" s="292" t="inlineStr">
        <is>
          <t>111/10</t>
        </is>
      </c>
      <c r="C48" s="293" t="n">
        <v>304</v>
      </c>
      <c r="D48" s="293" t="n">
        <v>12</v>
      </c>
      <c r="E48" s="294" t="n">
        <v>0.039</v>
      </c>
      <c r="F48" s="293" t="n">
        <v>114</v>
      </c>
      <c r="G48" s="294" t="n">
        <v>0.375</v>
      </c>
      <c r="H48" s="297" t="inlineStr">
        <is>
          <t>📉升息循環 新低114檔</t>
        </is>
      </c>
    </row>
    <row r="49" ht="17" customHeight="1">
      <c r="A49" s="1" t="n"/>
      <c r="B49" s="284" t="inlineStr">
        <is>
          <t>111/09</t>
        </is>
      </c>
      <c r="C49" s="285" t="n">
        <v>301</v>
      </c>
      <c r="D49" s="285" t="n">
        <v>29</v>
      </c>
      <c r="E49" s="286" t="n">
        <v>0.096</v>
      </c>
      <c r="F49" s="285" t="n">
        <v>68</v>
      </c>
      <c r="G49" s="286" t="n">
        <v>0.226</v>
      </c>
      <c r="H49" s="287" t="inlineStr"/>
    </row>
    <row r="50" ht="17" customHeight="1">
      <c r="A50" s="1" t="n"/>
      <c r="B50" s="288" t="inlineStr">
        <is>
          <t>111/08</t>
        </is>
      </c>
      <c r="C50" s="289" t="n">
        <v>295</v>
      </c>
      <c r="D50" s="289" t="n">
        <v>33</v>
      </c>
      <c r="E50" s="290" t="n">
        <v>0.112</v>
      </c>
      <c r="F50" s="289" t="n">
        <v>36</v>
      </c>
      <c r="G50" s="290" t="n">
        <v>0.122</v>
      </c>
      <c r="H50" s="291" t="inlineStr"/>
    </row>
    <row r="51" ht="17" customHeight="1">
      <c r="A51" s="1" t="n"/>
      <c r="B51" s="292" t="inlineStr">
        <is>
          <t>111/07</t>
        </is>
      </c>
      <c r="C51" s="293" t="n">
        <v>293</v>
      </c>
      <c r="D51" s="293" t="n">
        <v>12</v>
      </c>
      <c r="E51" s="294" t="n">
        <v>0.04099999999999999</v>
      </c>
      <c r="F51" s="293" t="n">
        <v>103</v>
      </c>
      <c r="G51" s="294" t="n">
        <v>0.352</v>
      </c>
      <c r="H51" s="297" t="inlineStr">
        <is>
          <t>📉升息循環 新低103檔</t>
        </is>
      </c>
    </row>
    <row r="52" ht="17" customHeight="1">
      <c r="A52" s="1" t="n"/>
      <c r="B52" s="288" t="inlineStr">
        <is>
          <t>111/06</t>
        </is>
      </c>
      <c r="C52" s="289" t="n">
        <v>291</v>
      </c>
      <c r="D52" s="289" t="n">
        <v>15</v>
      </c>
      <c r="E52" s="290" t="n">
        <v>0.052</v>
      </c>
      <c r="F52" s="289" t="n">
        <v>93</v>
      </c>
      <c r="G52" s="290" t="n">
        <v>0.32</v>
      </c>
      <c r="H52" s="291" t="inlineStr"/>
    </row>
    <row r="53" ht="17" customHeight="1">
      <c r="A53" s="1" t="n"/>
      <c r="B53" s="292" t="inlineStr">
        <is>
          <t>111/05</t>
        </is>
      </c>
      <c r="C53" s="293" t="n">
        <v>281</v>
      </c>
      <c r="D53" s="293" t="n">
        <v>9</v>
      </c>
      <c r="E53" s="294" t="n">
        <v>0.032</v>
      </c>
      <c r="F53" s="293" t="n">
        <v>62</v>
      </c>
      <c r="G53" s="294" t="n">
        <v>0.221</v>
      </c>
      <c r="H53" s="297" t="inlineStr">
        <is>
          <t>📉升息空頭開始</t>
        </is>
      </c>
    </row>
    <row r="54" ht="17" customHeight="1">
      <c r="A54" s="1" t="n"/>
      <c r="B54" s="288" t="inlineStr">
        <is>
          <t>111/04</t>
        </is>
      </c>
      <c r="C54" s="289" t="n">
        <v>276</v>
      </c>
      <c r="D54" s="289" t="n">
        <v>26</v>
      </c>
      <c r="E54" s="290" t="n">
        <v>0.094</v>
      </c>
      <c r="F54" s="289" t="n">
        <v>38</v>
      </c>
      <c r="G54" s="290" t="n">
        <v>0.138</v>
      </c>
      <c r="H54" s="291" t="inlineStr"/>
    </row>
    <row r="55" ht="17" customHeight="1">
      <c r="A55" s="1" t="n"/>
      <c r="B55" s="284" t="inlineStr">
        <is>
          <t>111/03</t>
        </is>
      </c>
      <c r="C55" s="285" t="n">
        <v>285</v>
      </c>
      <c r="D55" s="285" t="n">
        <v>29</v>
      </c>
      <c r="E55" s="286" t="n">
        <v>0.102</v>
      </c>
      <c r="F55" s="285" t="n">
        <v>19</v>
      </c>
      <c r="G55" s="286" t="n">
        <v>0.067</v>
      </c>
      <c r="H55" s="287" t="inlineStr"/>
    </row>
    <row r="56" ht="17" customHeight="1">
      <c r="A56" s="1" t="n"/>
      <c r="B56" s="288" t="inlineStr">
        <is>
          <t>111/02</t>
        </is>
      </c>
      <c r="C56" s="289" t="n">
        <v>281</v>
      </c>
      <c r="D56" s="289" t="n">
        <v>38</v>
      </c>
      <c r="E56" s="290" t="n">
        <v>0.135</v>
      </c>
      <c r="F56" s="289" t="n">
        <v>10</v>
      </c>
      <c r="G56" s="290" t="n">
        <v>0.036</v>
      </c>
      <c r="H56" s="291" t="inlineStr"/>
    </row>
    <row r="57" ht="17" customHeight="1">
      <c r="A57" s="1" t="n"/>
      <c r="B57" s="284" t="inlineStr">
        <is>
          <t>111/01</t>
        </is>
      </c>
      <c r="C57" s="285" t="n">
        <v>282</v>
      </c>
      <c r="D57" s="285" t="n">
        <v>36</v>
      </c>
      <c r="E57" s="286" t="n">
        <v>0.128</v>
      </c>
      <c r="F57" s="285" t="n">
        <v>17</v>
      </c>
      <c r="G57" s="286" t="n">
        <v>0.06</v>
      </c>
      <c r="H57" s="287" t="inlineStr"/>
    </row>
    <row r="58" ht="17" customHeight="1">
      <c r="A58" s="1" t="n"/>
      <c r="B58" s="288" t="inlineStr">
        <is>
          <t>110/12</t>
        </is>
      </c>
      <c r="C58" s="289" t="n">
        <v>278</v>
      </c>
      <c r="D58" s="289" t="n">
        <v>48</v>
      </c>
      <c r="E58" s="290" t="n">
        <v>0.173</v>
      </c>
      <c r="F58" s="289" t="n">
        <v>10</v>
      </c>
      <c r="G58" s="290" t="n">
        <v>0.036</v>
      </c>
      <c r="H58" s="291" t="inlineStr"/>
    </row>
    <row r="59" ht="17" customHeight="1">
      <c r="A59" s="1" t="n"/>
      <c r="B59" s="284" t="inlineStr">
        <is>
          <t>110/11</t>
        </is>
      </c>
      <c r="C59" s="285" t="n">
        <v>275</v>
      </c>
      <c r="D59" s="285" t="n">
        <v>61</v>
      </c>
      <c r="E59" s="286" t="n">
        <v>0.222</v>
      </c>
      <c r="F59" s="285" t="n">
        <v>9</v>
      </c>
      <c r="G59" s="286" t="n">
        <v>0.033</v>
      </c>
      <c r="H59" s="287" t="inlineStr"/>
    </row>
    <row r="60" ht="17" customHeight="1">
      <c r="A60" s="1" t="n"/>
      <c r="B60" s="288" t="inlineStr">
        <is>
          <t>110/10</t>
        </is>
      </c>
      <c r="C60" s="289" t="n">
        <v>267</v>
      </c>
      <c r="D60" s="289" t="n">
        <v>32</v>
      </c>
      <c r="E60" s="290" t="n">
        <v>0.12</v>
      </c>
      <c r="F60" s="289" t="n">
        <v>38</v>
      </c>
      <c r="G60" s="290" t="n">
        <v>0.142</v>
      </c>
      <c r="H60" s="291" t="inlineStr"/>
    </row>
    <row r="61" ht="17" customHeight="1">
      <c r="A61" s="1" t="n"/>
      <c r="B61" s="284" t="inlineStr">
        <is>
          <t>110/09</t>
        </is>
      </c>
      <c r="C61" s="285" t="n">
        <v>262</v>
      </c>
      <c r="D61" s="285" t="n">
        <v>24</v>
      </c>
      <c r="E61" s="286" t="n">
        <v>0.092</v>
      </c>
      <c r="F61" s="285" t="n">
        <v>30</v>
      </c>
      <c r="G61" s="286" t="n">
        <v>0.115</v>
      </c>
      <c r="H61" s="287" t="inlineStr"/>
    </row>
    <row r="62" ht="17" customHeight="1">
      <c r="A62" s="1" t="n"/>
      <c r="B62" s="288" t="inlineStr">
        <is>
          <t>110/08</t>
        </is>
      </c>
      <c r="C62" s="289" t="n">
        <v>253</v>
      </c>
      <c r="D62" s="289" t="n">
        <v>24</v>
      </c>
      <c r="E62" s="290" t="n">
        <v>0.095</v>
      </c>
      <c r="F62" s="289" t="n">
        <v>24</v>
      </c>
      <c r="G62" s="290" t="n">
        <v>0.095</v>
      </c>
      <c r="H62" s="291" t="inlineStr"/>
    </row>
    <row r="63" ht="17" customHeight="1">
      <c r="A63" s="1" t="n"/>
      <c r="B63" s="284" t="inlineStr">
        <is>
          <t>110/07</t>
        </is>
      </c>
      <c r="C63" s="285" t="n">
        <v>251</v>
      </c>
      <c r="D63" s="285" t="n">
        <v>57</v>
      </c>
      <c r="E63" s="286" t="n">
        <v>0.227</v>
      </c>
      <c r="F63" s="285" t="n">
        <v>12</v>
      </c>
      <c r="G63" s="286" t="n">
        <v>0.048</v>
      </c>
      <c r="H63" s="287" t="inlineStr"/>
    </row>
    <row r="64" ht="17" customHeight="1">
      <c r="A64" s="1" t="n"/>
      <c r="B64" s="288" t="inlineStr">
        <is>
          <t>110/06</t>
        </is>
      </c>
      <c r="C64" s="289" t="n">
        <v>249</v>
      </c>
      <c r="D64" s="289" t="n">
        <v>43</v>
      </c>
      <c r="E64" s="290" t="n">
        <v>0.173</v>
      </c>
      <c r="F64" s="289" t="n">
        <v>7</v>
      </c>
      <c r="G64" s="290" t="n">
        <v>0.028</v>
      </c>
      <c r="H64" s="291" t="inlineStr"/>
    </row>
    <row r="65" ht="17" customHeight="1">
      <c r="A65" s="1" t="n"/>
      <c r="B65" s="284" t="inlineStr">
        <is>
          <t>110/05</t>
        </is>
      </c>
      <c r="C65" s="285" t="n">
        <v>243</v>
      </c>
      <c r="D65" s="285" t="n">
        <v>25</v>
      </c>
      <c r="E65" s="286" t="n">
        <v>0.103</v>
      </c>
      <c r="F65" s="285" t="n">
        <v>25</v>
      </c>
      <c r="G65" s="286" t="n">
        <v>0.103</v>
      </c>
      <c r="H65" s="287" t="inlineStr"/>
    </row>
    <row r="66" ht="17" customHeight="1">
      <c r="A66" s="1" t="n"/>
      <c r="B66" s="280" t="inlineStr">
        <is>
          <t>110/04</t>
        </is>
      </c>
      <c r="C66" s="281" t="n">
        <v>237</v>
      </c>
      <c r="D66" s="298" t="n">
        <v>101</v>
      </c>
      <c r="E66" s="299" t="n">
        <v>0.426</v>
      </c>
      <c r="F66" s="281" t="n">
        <v>2</v>
      </c>
      <c r="G66" s="282" t="n">
        <v>0.008</v>
      </c>
      <c r="H66" s="317" t="inlineStr">
        <is>
          <t>新高101檔</t>
        </is>
      </c>
    </row>
    <row r="67" ht="17" customHeight="1">
      <c r="A67" s="1" t="n"/>
      <c r="B67" s="284" t="inlineStr">
        <is>
          <t>110/03</t>
        </is>
      </c>
      <c r="C67" s="285" t="n">
        <v>242</v>
      </c>
      <c r="D67" s="285" t="n">
        <v>73</v>
      </c>
      <c r="E67" s="286" t="n">
        <v>0.302</v>
      </c>
      <c r="F67" s="285" t="n">
        <v>6</v>
      </c>
      <c r="G67" s="286" t="n">
        <v>0.025</v>
      </c>
      <c r="H67" s="287" t="inlineStr"/>
    </row>
    <row r="68" ht="17" customHeight="1">
      <c r="A68" s="1" t="n"/>
      <c r="B68" s="288" t="inlineStr">
        <is>
          <t>110/02</t>
        </is>
      </c>
      <c r="C68" s="289" t="n">
        <v>237</v>
      </c>
      <c r="D68" s="289" t="n">
        <v>46</v>
      </c>
      <c r="E68" s="290" t="n">
        <v>0.194</v>
      </c>
      <c r="F68" s="289" t="n">
        <v>7</v>
      </c>
      <c r="G68" s="290" t="n">
        <v>0.03</v>
      </c>
      <c r="H68" s="291" t="inlineStr"/>
    </row>
    <row r="69" ht="17" customHeight="1">
      <c r="A69" s="1" t="n"/>
      <c r="B69" s="284" t="inlineStr">
        <is>
          <t>110/01</t>
        </is>
      </c>
      <c r="C69" s="285" t="n">
        <v>236</v>
      </c>
      <c r="D69" s="285" t="n">
        <v>64</v>
      </c>
      <c r="E69" s="286" t="n">
        <v>0.271</v>
      </c>
      <c r="F69" s="285" t="n">
        <v>11</v>
      </c>
      <c r="G69" s="286" t="n">
        <v>0.047</v>
      </c>
      <c r="H69" s="287" t="inlineStr"/>
    </row>
    <row r="70" ht="17" customHeight="1">
      <c r="A70" s="1" t="n"/>
      <c r="B70" s="288" t="inlineStr">
        <is>
          <t>109/12</t>
        </is>
      </c>
      <c r="C70" s="289" t="n">
        <v>231</v>
      </c>
      <c r="D70" s="289" t="n">
        <v>66</v>
      </c>
      <c r="E70" s="290" t="n">
        <v>0.286</v>
      </c>
      <c r="F70" s="289" t="n">
        <v>11</v>
      </c>
      <c r="G70" s="290" t="n">
        <v>0.048</v>
      </c>
      <c r="H70" s="291" t="inlineStr"/>
    </row>
    <row r="71" ht="17" customHeight="1">
      <c r="A71" s="1" t="n"/>
      <c r="B71" s="284" t="inlineStr">
        <is>
          <t>109/11</t>
        </is>
      </c>
      <c r="C71" s="285" t="n">
        <v>221</v>
      </c>
      <c r="D71" s="285" t="n">
        <v>49</v>
      </c>
      <c r="E71" s="286" t="n">
        <v>0.222</v>
      </c>
      <c r="F71" s="285" t="n">
        <v>16</v>
      </c>
      <c r="G71" s="286" t="n">
        <v>0.07200000000000001</v>
      </c>
      <c r="H71" s="287" t="inlineStr"/>
    </row>
    <row r="72" ht="17" customHeight="1">
      <c r="A72" s="1" t="n"/>
      <c r="B72" s="288" t="inlineStr">
        <is>
          <t>109/10</t>
        </is>
      </c>
      <c r="C72" s="289" t="n">
        <v>219</v>
      </c>
      <c r="D72" s="289" t="n">
        <v>25</v>
      </c>
      <c r="E72" s="290" t="n">
        <v>0.114</v>
      </c>
      <c r="F72" s="289" t="n">
        <v>10</v>
      </c>
      <c r="G72" s="290" t="n">
        <v>0.046</v>
      </c>
      <c r="H72" s="291" t="inlineStr"/>
    </row>
    <row r="73" ht="17" customHeight="1">
      <c r="A73" s="1" t="n"/>
      <c r="B73" s="284" t="inlineStr">
        <is>
          <t>109/09</t>
        </is>
      </c>
      <c r="C73" s="285" t="n">
        <v>213</v>
      </c>
      <c r="D73" s="285" t="n">
        <v>44</v>
      </c>
      <c r="E73" s="286" t="n">
        <v>0.207</v>
      </c>
      <c r="F73" s="285" t="n">
        <v>5</v>
      </c>
      <c r="G73" s="286" t="n">
        <v>0.023</v>
      </c>
      <c r="H73" s="287" t="inlineStr"/>
    </row>
    <row r="74" ht="17" customHeight="1">
      <c r="A74" s="1" t="n"/>
      <c r="B74" s="288" t="inlineStr">
        <is>
          <t>109/08</t>
        </is>
      </c>
      <c r="C74" s="289" t="n">
        <v>209</v>
      </c>
      <c r="D74" s="289" t="n">
        <v>55</v>
      </c>
      <c r="E74" s="290" t="n">
        <v>0.263</v>
      </c>
      <c r="F74" s="289" t="n">
        <v>3</v>
      </c>
      <c r="G74" s="290" t="n">
        <v>0.014</v>
      </c>
      <c r="H74" s="291" t="inlineStr"/>
    </row>
    <row r="75" ht="17" customHeight="1">
      <c r="A75" s="1" t="n"/>
      <c r="B75" s="280" t="inlineStr">
        <is>
          <t>109/07</t>
        </is>
      </c>
      <c r="C75" s="281" t="n">
        <v>202</v>
      </c>
      <c r="D75" s="281" t="n">
        <v>56</v>
      </c>
      <c r="E75" s="282" t="n">
        <v>0.277</v>
      </c>
      <c r="F75" s="281" t="n">
        <v>3</v>
      </c>
      <c r="G75" s="282" t="n">
        <v>0.015</v>
      </c>
      <c r="H75" s="317" t="inlineStr">
        <is>
          <t>疫後反彈 新高56檔</t>
        </is>
      </c>
    </row>
    <row r="76" ht="17" customHeight="1">
      <c r="A76" s="1" t="n"/>
      <c r="B76" s="288" t="inlineStr">
        <is>
          <t>109/06</t>
        </is>
      </c>
      <c r="C76" s="289" t="n">
        <v>209</v>
      </c>
      <c r="D76" s="289" t="n">
        <v>41</v>
      </c>
      <c r="E76" s="290" t="n">
        <v>0.196</v>
      </c>
      <c r="F76" s="289" t="n">
        <v>3</v>
      </c>
      <c r="G76" s="290" t="n">
        <v>0.014</v>
      </c>
      <c r="H76" s="291" t="inlineStr"/>
    </row>
    <row r="77" ht="17" customHeight="1">
      <c r="A77" s="1" t="n"/>
      <c r="B77" s="284" t="inlineStr">
        <is>
          <t>109/05</t>
        </is>
      </c>
      <c r="C77" s="285" t="n">
        <v>212</v>
      </c>
      <c r="D77" s="285" t="n">
        <v>33</v>
      </c>
      <c r="E77" s="286" t="n">
        <v>0.156</v>
      </c>
      <c r="F77" s="285" t="n">
        <v>10</v>
      </c>
      <c r="G77" s="286" t="n">
        <v>0.047</v>
      </c>
      <c r="H77" s="287" t="inlineStr"/>
    </row>
    <row r="78" ht="17" customHeight="1">
      <c r="A78" s="1" t="n"/>
      <c r="B78" s="288" t="inlineStr">
        <is>
          <t>109/04</t>
        </is>
      </c>
      <c r="C78" s="289" t="n">
        <v>209</v>
      </c>
      <c r="D78" s="289" t="n">
        <v>14</v>
      </c>
      <c r="E78" s="290" t="n">
        <v>0.067</v>
      </c>
      <c r="F78" s="289" t="n">
        <v>17</v>
      </c>
      <c r="G78" s="290" t="n">
        <v>0.081</v>
      </c>
      <c r="H78" s="291" t="inlineStr"/>
    </row>
    <row r="79" ht="17" customHeight="1">
      <c r="A79" s="1" t="n"/>
      <c r="B79" s="292" t="inlineStr">
        <is>
          <t>109/03</t>
        </is>
      </c>
      <c r="C79" s="293" t="n">
        <v>212</v>
      </c>
      <c r="D79" s="293" t="n">
        <v>18</v>
      </c>
      <c r="E79" s="294" t="n">
        <v>0.08500000000000001</v>
      </c>
      <c r="F79" s="293" t="n">
        <v>96</v>
      </c>
      <c r="G79" s="294" t="n">
        <v>0.453</v>
      </c>
      <c r="H79" s="297" t="inlineStr">
        <is>
          <t>📉COVID-19 新低96檔</t>
        </is>
      </c>
    </row>
    <row r="80" ht="17" customHeight="1">
      <c r="A80" s="1" t="n"/>
      <c r="B80" s="288" t="inlineStr">
        <is>
          <t>109/02</t>
        </is>
      </c>
      <c r="C80" s="289" t="n">
        <v>212</v>
      </c>
      <c r="D80" s="289" t="n">
        <v>16</v>
      </c>
      <c r="E80" s="290" t="n">
        <v>0.075</v>
      </c>
      <c r="F80" s="289" t="n">
        <v>31</v>
      </c>
      <c r="G80" s="290" t="n">
        <v>0.146</v>
      </c>
      <c r="H80" s="291" t="inlineStr"/>
    </row>
    <row r="81" ht="17" customHeight="1">
      <c r="A81" s="1" t="n"/>
      <c r="B81" s="284" t="inlineStr">
        <is>
          <t>109/01</t>
        </is>
      </c>
      <c r="C81" s="285" t="n">
        <v>206</v>
      </c>
      <c r="D81" s="285" t="n">
        <v>31</v>
      </c>
      <c r="E81" s="286" t="n">
        <v>0.15</v>
      </c>
      <c r="F81" s="285" t="n">
        <v>18</v>
      </c>
      <c r="G81" s="286" t="n">
        <v>0.08699999999999999</v>
      </c>
      <c r="H81" s="287" t="inlineStr"/>
    </row>
    <row r="82" ht="17" customHeight="1">
      <c r="A82" s="1" t="n"/>
      <c r="B82" s="288" t="inlineStr">
        <is>
          <t>108/12</t>
        </is>
      </c>
      <c r="C82" s="289" t="n">
        <v>204</v>
      </c>
      <c r="D82" s="289" t="n">
        <v>27</v>
      </c>
      <c r="E82" s="290" t="n">
        <v>0.132</v>
      </c>
      <c r="F82" s="289" t="n">
        <v>13</v>
      </c>
      <c r="G82" s="290" t="n">
        <v>0.064</v>
      </c>
      <c r="H82" s="291" t="inlineStr"/>
    </row>
    <row r="83" ht="17" customHeight="1">
      <c r="A83" s="1" t="n"/>
      <c r="B83" s="284" t="inlineStr">
        <is>
          <t>108/11</t>
        </is>
      </c>
      <c r="C83" s="285" t="n">
        <v>202</v>
      </c>
      <c r="D83" s="285" t="n">
        <v>25</v>
      </c>
      <c r="E83" s="286" t="n">
        <v>0.124</v>
      </c>
      <c r="F83" s="285" t="n">
        <v>14</v>
      </c>
      <c r="G83" s="286" t="n">
        <v>0.06900000000000001</v>
      </c>
      <c r="H83" s="287" t="inlineStr"/>
    </row>
    <row r="84" ht="17" customHeight="1">
      <c r="A84" s="1" t="n"/>
      <c r="B84" s="288" t="inlineStr">
        <is>
          <t>108/10</t>
        </is>
      </c>
      <c r="C84" s="289" t="n">
        <v>194</v>
      </c>
      <c r="D84" s="289" t="n">
        <v>18</v>
      </c>
      <c r="E84" s="290" t="n">
        <v>0.09300000000000001</v>
      </c>
      <c r="F84" s="289" t="n">
        <v>9</v>
      </c>
      <c r="G84" s="290" t="n">
        <v>0.046</v>
      </c>
      <c r="H84" s="291" t="inlineStr"/>
    </row>
    <row r="85" ht="17" customHeight="1">
      <c r="A85" s="1" t="n"/>
      <c r="B85" s="284" t="inlineStr">
        <is>
          <t>108/09</t>
        </is>
      </c>
      <c r="C85" s="285" t="n">
        <v>188</v>
      </c>
      <c r="D85" s="285" t="n">
        <v>22</v>
      </c>
      <c r="E85" s="286" t="n">
        <v>0.117</v>
      </c>
      <c r="F85" s="285" t="n">
        <v>5</v>
      </c>
      <c r="G85" s="286" t="n">
        <v>0.027</v>
      </c>
      <c r="H85" s="287" t="inlineStr"/>
    </row>
    <row r="86" ht="17" customHeight="1">
      <c r="A86" s="1" t="n"/>
      <c r="B86" s="288" t="inlineStr">
        <is>
          <t>108/08</t>
        </is>
      </c>
      <c r="C86" s="289" t="n">
        <v>188</v>
      </c>
      <c r="D86" s="289" t="n">
        <v>19</v>
      </c>
      <c r="E86" s="290" t="n">
        <v>0.101</v>
      </c>
      <c r="F86" s="289" t="n">
        <v>12</v>
      </c>
      <c r="G86" s="290" t="n">
        <v>0.064</v>
      </c>
      <c r="H86" s="291" t="inlineStr"/>
    </row>
    <row r="87" ht="17" customHeight="1">
      <c r="A87" s="1" t="n"/>
      <c r="B87" s="284" t="inlineStr">
        <is>
          <t>108/07</t>
        </is>
      </c>
      <c r="C87" s="285" t="n">
        <v>188</v>
      </c>
      <c r="D87" s="285" t="n">
        <v>28</v>
      </c>
      <c r="E87" s="286" t="n">
        <v>0.149</v>
      </c>
      <c r="F87" s="285" t="n">
        <v>4</v>
      </c>
      <c r="G87" s="286" t="n">
        <v>0.021</v>
      </c>
      <c r="H87" s="287" t="inlineStr"/>
    </row>
    <row r="88" ht="17" customHeight="1">
      <c r="A88" s="1" t="n"/>
      <c r="B88" s="288" t="inlineStr">
        <is>
          <t>108/06</t>
        </is>
      </c>
      <c r="C88" s="289" t="n">
        <v>184</v>
      </c>
      <c r="D88" s="289" t="n">
        <v>15</v>
      </c>
      <c r="E88" s="290" t="n">
        <v>0.08199999999999999</v>
      </c>
      <c r="F88" s="289" t="n">
        <v>10</v>
      </c>
      <c r="G88" s="290" t="n">
        <v>0.05400000000000001</v>
      </c>
      <c r="H88" s="291" t="inlineStr"/>
    </row>
    <row r="89" ht="17" customHeight="1">
      <c r="A89" s="1" t="n"/>
      <c r="B89" s="284" t="inlineStr">
        <is>
          <t>108/05</t>
        </is>
      </c>
      <c r="C89" s="285" t="n">
        <v>181</v>
      </c>
      <c r="D89" s="285" t="n">
        <v>13</v>
      </c>
      <c r="E89" s="286" t="n">
        <v>0.07200000000000001</v>
      </c>
      <c r="F89" s="285" t="n">
        <v>12</v>
      </c>
      <c r="G89" s="286" t="n">
        <v>0.066</v>
      </c>
      <c r="H89" s="287" t="inlineStr"/>
    </row>
    <row r="90" ht="17" customHeight="1">
      <c r="A90" s="1" t="n"/>
      <c r="B90" s="288" t="inlineStr">
        <is>
          <t>108/04</t>
        </is>
      </c>
      <c r="C90" s="289" t="n">
        <v>187</v>
      </c>
      <c r="D90" s="289" t="n">
        <v>25</v>
      </c>
      <c r="E90" s="290" t="n">
        <v>0.134</v>
      </c>
      <c r="F90" s="289" t="n">
        <v>3</v>
      </c>
      <c r="G90" s="290" t="n">
        <v>0.016</v>
      </c>
      <c r="H90" s="291" t="inlineStr"/>
    </row>
    <row r="91" ht="17" customHeight="1">
      <c r="A91" s="1" t="n"/>
      <c r="B91" s="284" t="inlineStr">
        <is>
          <t>108/03</t>
        </is>
      </c>
      <c r="C91" s="285" t="n">
        <v>192</v>
      </c>
      <c r="D91" s="285" t="n">
        <v>30</v>
      </c>
      <c r="E91" s="286" t="n">
        <v>0.156</v>
      </c>
      <c r="F91" s="285" t="n">
        <v>9</v>
      </c>
      <c r="G91" s="286" t="n">
        <v>0.047</v>
      </c>
      <c r="H91" s="287" t="inlineStr"/>
    </row>
    <row r="92" ht="17" customHeight="1">
      <c r="A92" s="1" t="n"/>
      <c r="B92" s="288" t="inlineStr">
        <is>
          <t>108/02</t>
        </is>
      </c>
      <c r="C92" s="289" t="n">
        <v>189</v>
      </c>
      <c r="D92" s="289" t="n">
        <v>22</v>
      </c>
      <c r="E92" s="290" t="n">
        <v>0.116</v>
      </c>
      <c r="F92" s="289" t="n">
        <v>6</v>
      </c>
      <c r="G92" s="290" t="n">
        <v>0.032</v>
      </c>
      <c r="H92" s="291" t="inlineStr"/>
    </row>
    <row r="93" ht="17" customHeight="1">
      <c r="A93" s="1" t="n"/>
      <c r="B93" s="284" t="inlineStr">
        <is>
          <t>108/01</t>
        </is>
      </c>
      <c r="C93" s="285" t="n">
        <v>193</v>
      </c>
      <c r="D93" s="285" t="n">
        <v>13</v>
      </c>
      <c r="E93" s="286" t="n">
        <v>0.067</v>
      </c>
      <c r="F93" s="285" t="n">
        <v>15</v>
      </c>
      <c r="G93" s="286" t="n">
        <v>0.078</v>
      </c>
      <c r="H93" s="287" t="inlineStr"/>
    </row>
    <row r="94" ht="17" customHeight="1">
      <c r="A94" s="1" t="n"/>
      <c r="B94" s="288" t="inlineStr">
        <is>
          <t>107/12</t>
        </is>
      </c>
      <c r="C94" s="289" t="n">
        <v>196</v>
      </c>
      <c r="D94" s="289" t="n">
        <v>9</v>
      </c>
      <c r="E94" s="290" t="n">
        <v>0.046</v>
      </c>
      <c r="F94" s="289" t="n">
        <v>21</v>
      </c>
      <c r="G94" s="290" t="n">
        <v>0.107</v>
      </c>
      <c r="H94" s="291" t="inlineStr"/>
    </row>
    <row r="95" ht="17" customHeight="1">
      <c r="A95" s="1" t="n"/>
      <c r="B95" s="284" t="inlineStr">
        <is>
          <t>107/11</t>
        </is>
      </c>
      <c r="C95" s="285" t="n">
        <v>201</v>
      </c>
      <c r="D95" s="285" t="n">
        <v>2</v>
      </c>
      <c r="E95" s="286" t="n">
        <v>0.01</v>
      </c>
      <c r="F95" s="285" t="n">
        <v>28</v>
      </c>
      <c r="G95" s="286" t="n">
        <v>0.139</v>
      </c>
      <c r="H95" s="287" t="inlineStr"/>
    </row>
    <row r="96" ht="17" customHeight="1">
      <c r="A96" s="1" t="n"/>
      <c r="B96" s="292" t="inlineStr">
        <is>
          <t>107/10</t>
        </is>
      </c>
      <c r="C96" s="293" t="n">
        <v>208</v>
      </c>
      <c r="D96" s="293" t="n">
        <v>9</v>
      </c>
      <c r="E96" s="294" t="n">
        <v>0.043</v>
      </c>
      <c r="F96" s="293" t="n">
        <v>73</v>
      </c>
      <c r="G96" s="294" t="n">
        <v>0.351</v>
      </c>
      <c r="H96" s="297" t="inlineStr">
        <is>
          <t>📉中美貿易戰 新低73檔</t>
        </is>
      </c>
    </row>
    <row r="97" ht="17" customHeight="1">
      <c r="A97" s="1" t="n"/>
      <c r="B97" s="284" t="inlineStr">
        <is>
          <t>107/09</t>
        </is>
      </c>
      <c r="C97" s="285" t="n">
        <v>210</v>
      </c>
      <c r="D97" s="285" t="n">
        <v>13</v>
      </c>
      <c r="E97" s="286" t="n">
        <v>0.062</v>
      </c>
      <c r="F97" s="285" t="n">
        <v>29</v>
      </c>
      <c r="G97" s="286" t="n">
        <v>0.138</v>
      </c>
      <c r="H97" s="287" t="inlineStr"/>
    </row>
    <row r="98" ht="17" customHeight="1">
      <c r="A98" s="1" t="n"/>
      <c r="B98" s="288" t="inlineStr">
        <is>
          <t>107/08</t>
        </is>
      </c>
      <c r="C98" s="289" t="n">
        <v>214</v>
      </c>
      <c r="D98" s="289" t="n">
        <v>22</v>
      </c>
      <c r="E98" s="290" t="n">
        <v>0.103</v>
      </c>
      <c r="F98" s="289" t="n">
        <v>41</v>
      </c>
      <c r="G98" s="290" t="n">
        <v>0.192</v>
      </c>
      <c r="H98" s="291" t="inlineStr"/>
    </row>
    <row r="99" ht="17" customHeight="1">
      <c r="A99" s="1" t="n"/>
      <c r="B99" s="284" t="inlineStr">
        <is>
          <t>107/07</t>
        </is>
      </c>
      <c r="C99" s="285" t="n">
        <v>222</v>
      </c>
      <c r="D99" s="285" t="n">
        <v>23</v>
      </c>
      <c r="E99" s="286" t="n">
        <v>0.104</v>
      </c>
      <c r="F99" s="285" t="n">
        <v>19</v>
      </c>
      <c r="G99" s="286" t="n">
        <v>0.08599999999999999</v>
      </c>
      <c r="H99" s="287" t="inlineStr"/>
    </row>
    <row r="100" ht="17" customHeight="1">
      <c r="A100" s="1" t="n"/>
      <c r="B100" s="288" t="inlineStr">
        <is>
          <t>107/06</t>
        </is>
      </c>
      <c r="C100" s="289" t="n">
        <v>218</v>
      </c>
      <c r="D100" s="289" t="n">
        <v>30</v>
      </c>
      <c r="E100" s="290" t="n">
        <v>0.138</v>
      </c>
      <c r="F100" s="289" t="n">
        <v>12</v>
      </c>
      <c r="G100" s="290" t="n">
        <v>0.055</v>
      </c>
      <c r="H100" s="291" t="inlineStr"/>
    </row>
    <row r="101" ht="17" customHeight="1">
      <c r="A101" s="1" t="n"/>
      <c r="B101" s="284" t="inlineStr">
        <is>
          <t>107/05</t>
        </is>
      </c>
      <c r="C101" s="285" t="n">
        <v>213</v>
      </c>
      <c r="D101" s="285" t="n">
        <v>27</v>
      </c>
      <c r="E101" s="286" t="n">
        <v>0.127</v>
      </c>
      <c r="F101" s="285" t="n">
        <v>24</v>
      </c>
      <c r="G101" s="286" t="n">
        <v>0.113</v>
      </c>
      <c r="H101" s="287" t="inlineStr"/>
    </row>
    <row r="102" ht="17" customHeight="1">
      <c r="A102" s="1" t="n"/>
      <c r="B102" s="288" t="inlineStr">
        <is>
          <t>107/04</t>
        </is>
      </c>
      <c r="C102" s="289" t="n">
        <v>210</v>
      </c>
      <c r="D102" s="289" t="n">
        <v>37</v>
      </c>
      <c r="E102" s="290" t="n">
        <v>0.176</v>
      </c>
      <c r="F102" s="289" t="n">
        <v>22</v>
      </c>
      <c r="G102" s="290" t="n">
        <v>0.105</v>
      </c>
      <c r="H102" s="291" t="inlineStr"/>
    </row>
    <row r="103" ht="17" customHeight="1">
      <c r="A103" s="1" t="n"/>
      <c r="B103" s="284" t="inlineStr">
        <is>
          <t>107/03</t>
        </is>
      </c>
      <c r="C103" s="285" t="n">
        <v>214</v>
      </c>
      <c r="D103" s="285" t="n">
        <v>36</v>
      </c>
      <c r="E103" s="286" t="n">
        <v>0.168</v>
      </c>
      <c r="F103" s="285" t="n">
        <v>13</v>
      </c>
      <c r="G103" s="286" t="n">
        <v>0.061</v>
      </c>
      <c r="H103" s="287" t="inlineStr"/>
    </row>
    <row r="104" ht="17" customHeight="1">
      <c r="A104" s="1" t="n"/>
      <c r="B104" s="292" t="inlineStr">
        <is>
          <t>107/02</t>
        </is>
      </c>
      <c r="C104" s="293" t="n">
        <v>219</v>
      </c>
      <c r="D104" s="293" t="n">
        <v>14</v>
      </c>
      <c r="E104" s="294" t="n">
        <v>0.064</v>
      </c>
      <c r="F104" s="293" t="n">
        <v>24</v>
      </c>
      <c r="G104" s="294" t="n">
        <v>0.11</v>
      </c>
      <c r="H104" s="297" t="inlineStr">
        <is>
          <t>📉中美貿易戰開打</t>
        </is>
      </c>
    </row>
    <row r="105" ht="17" customHeight="1">
      <c r="A105" s="1" t="n"/>
      <c r="B105" s="284" t="inlineStr">
        <is>
          <t>107/01</t>
        </is>
      </c>
      <c r="C105" s="285" t="n">
        <v>229</v>
      </c>
      <c r="D105" s="285" t="n">
        <v>43</v>
      </c>
      <c r="E105" s="286" t="n">
        <v>0.188</v>
      </c>
      <c r="F105" s="285" t="n">
        <v>10</v>
      </c>
      <c r="G105" s="286" t="n">
        <v>0.044</v>
      </c>
      <c r="H105" s="287" t="inlineStr"/>
    </row>
    <row r="106" ht="17" customHeight="1">
      <c r="A106" s="1" t="n"/>
      <c r="B106" s="288" t="inlineStr">
        <is>
          <t>106/12</t>
        </is>
      </c>
      <c r="C106" s="289" t="n">
        <v>237</v>
      </c>
      <c r="D106" s="289" t="n">
        <v>39</v>
      </c>
      <c r="E106" s="290" t="n">
        <v>0.165</v>
      </c>
      <c r="F106" s="289" t="n">
        <v>19</v>
      </c>
      <c r="G106" s="290" t="n">
        <v>0.08</v>
      </c>
      <c r="H106" s="291" t="inlineStr"/>
    </row>
    <row r="107" ht="17" customHeight="1">
      <c r="A107" s="1" t="n"/>
      <c r="B107" s="284" t="inlineStr">
        <is>
          <t>106/11</t>
        </is>
      </c>
      <c r="C107" s="285" t="n">
        <v>244</v>
      </c>
      <c r="D107" s="285" t="n">
        <v>51</v>
      </c>
      <c r="E107" s="286" t="n">
        <v>0.209</v>
      </c>
      <c r="F107" s="285" t="n">
        <v>18</v>
      </c>
      <c r="G107" s="286" t="n">
        <v>0.07400000000000001</v>
      </c>
      <c r="H107" s="287" t="inlineStr"/>
    </row>
    <row r="108" ht="17" customHeight="1">
      <c r="A108" s="1" t="n"/>
      <c r="B108" s="288" t="inlineStr">
        <is>
          <t>106/10</t>
        </is>
      </c>
      <c r="C108" s="289" t="n">
        <v>256</v>
      </c>
      <c r="D108" s="289" t="n">
        <v>44</v>
      </c>
      <c r="E108" s="290" t="n">
        <v>0.172</v>
      </c>
      <c r="F108" s="289" t="n">
        <v>13</v>
      </c>
      <c r="G108" s="290" t="n">
        <v>0.051</v>
      </c>
      <c r="H108" s="291" t="inlineStr"/>
    </row>
    <row r="109" ht="17" customHeight="1">
      <c r="A109" s="1" t="n"/>
      <c r="B109" s="284" t="inlineStr">
        <is>
          <t>106/09</t>
        </is>
      </c>
      <c r="C109" s="285" t="n">
        <v>258</v>
      </c>
      <c r="D109" s="285" t="n">
        <v>72</v>
      </c>
      <c r="E109" s="286" t="n">
        <v>0.279</v>
      </c>
      <c r="F109" s="285" t="n">
        <v>12</v>
      </c>
      <c r="G109" s="286" t="n">
        <v>0.047</v>
      </c>
      <c r="H109" s="287" t="inlineStr"/>
    </row>
    <row r="110" ht="17" customHeight="1">
      <c r="A110" s="1" t="n"/>
      <c r="B110" s="288" t="inlineStr">
        <is>
          <t>106/08</t>
        </is>
      </c>
      <c r="C110" s="289" t="n">
        <v>265</v>
      </c>
      <c r="D110" s="289" t="n">
        <v>55</v>
      </c>
      <c r="E110" s="290" t="n">
        <v>0.208</v>
      </c>
      <c r="F110" s="289" t="n">
        <v>16</v>
      </c>
      <c r="G110" s="290" t="n">
        <v>0.06</v>
      </c>
      <c r="H110" s="291" t="inlineStr"/>
    </row>
    <row r="111" ht="17" customHeight="1">
      <c r="A111" s="1" t="n"/>
      <c r="B111" s="284" t="inlineStr">
        <is>
          <t>106/07</t>
        </is>
      </c>
      <c r="C111" s="285" t="n">
        <v>275</v>
      </c>
      <c r="D111" s="285" t="n">
        <v>39</v>
      </c>
      <c r="E111" s="286" t="n">
        <v>0.142</v>
      </c>
      <c r="F111" s="285" t="n">
        <v>16</v>
      </c>
      <c r="G111" s="286" t="n">
        <v>0.058</v>
      </c>
      <c r="H111" s="287" t="inlineStr"/>
    </row>
    <row r="112" ht="17" customHeight="1">
      <c r="A112" s="1" t="n"/>
      <c r="B112" s="288" t="inlineStr">
        <is>
          <t>106/06</t>
        </is>
      </c>
      <c r="C112" s="289" t="n">
        <v>279</v>
      </c>
      <c r="D112" s="289" t="n">
        <v>38</v>
      </c>
      <c r="E112" s="290" t="n">
        <v>0.136</v>
      </c>
      <c r="F112" s="289" t="n">
        <v>14</v>
      </c>
      <c r="G112" s="290" t="n">
        <v>0.05</v>
      </c>
      <c r="H112" s="291" t="inlineStr"/>
    </row>
    <row r="113">
      <c r="A113" s="1" t="n"/>
      <c r="B113" s="300" t="inlineStr">
        <is>
          <t>106/05</t>
        </is>
      </c>
      <c r="C113" s="301" t="n">
        <v>274</v>
      </c>
      <c r="D113" s="301" t="n">
        <v>47</v>
      </c>
      <c r="E113" s="302" t="n">
        <v>0.172</v>
      </c>
      <c r="F113" s="301" t="n">
        <v>14</v>
      </c>
      <c r="G113" s="302" t="n">
        <v>0.051</v>
      </c>
      <c r="H113" s="303" t="inlineStr"/>
    </row>
    <row r="114">
      <c r="A114" s="1" t="n"/>
      <c r="B114" s="304" t="inlineStr">
        <is>
          <t>📊平均</t>
        </is>
      </c>
      <c r="C114" s="305" t="n">
        <v>269</v>
      </c>
      <c r="D114" s="305" t="n">
        <v>38</v>
      </c>
      <c r="E114" s="306" t="n">
        <v>0.142</v>
      </c>
      <c r="F114" s="305" t="n">
        <v>27.3</v>
      </c>
      <c r="G114" s="306" t="n">
        <v>0.098</v>
      </c>
      <c r="H114" s="307" t="inlineStr"/>
    </row>
    <row r="115">
      <c r="A115" s="1" t="n"/>
      <c r="B115" s="308" t="inlineStr">
        <is>
          <t>🔝最多</t>
        </is>
      </c>
      <c r="C115" s="309" t="n">
        <v>374</v>
      </c>
      <c r="D115" s="309" t="n">
        <v>101</v>
      </c>
      <c r="E115" s="310" t="n">
        <v>0.426</v>
      </c>
      <c r="F115" s="309" t="n">
        <v>197</v>
      </c>
      <c r="G115" s="310" t="n">
        <v>0.597</v>
      </c>
      <c r="H115" s="311" t="inlineStr"/>
    </row>
    <row r="116">
      <c r="A116" s="1" t="n"/>
      <c r="B116" s="312" t="inlineStr">
        <is>
          <t>🔻最少</t>
        </is>
      </c>
      <c r="C116" s="313" t="n">
        <v>181</v>
      </c>
      <c r="D116" s="313" t="n">
        <v>2</v>
      </c>
      <c r="E116" s="314" t="n">
        <v>0.006</v>
      </c>
      <c r="F116" s="313" t="n">
        <v>2</v>
      </c>
      <c r="G116" s="314" t="n">
        <v>0.008</v>
      </c>
      <c r="H116" s="315" t="inlineStr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>
      <c r="A118" s="1" t="n"/>
      <c r="B118" s="316" t="inlineStr">
        <is>
          <t>📌 📈多頭事件(紅底) ｜ 📉空頭事件(綠底) ｜ 佔比% = 新高或新低檔數 ÷ 掛牌總檔數 ｜ 走勢圖詳見📈分頁</t>
        </is>
      </c>
      <c r="C118" s="1" t="n"/>
      <c r="D118" s="1" t="n"/>
      <c r="E118" s="1" t="n"/>
      <c r="F118" s="1" t="n"/>
      <c r="G118" s="1" t="n"/>
      <c r="H118" s="1" t="n"/>
    </row>
    <row r="11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B3:D3"/>
    <mergeCell ref="B1:H1"/>
    <mergeCell ref="E3:H3"/>
    <mergeCell ref="B117:H117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6" customWidth="1" min="4" max="4"/>
    <col width="12" customWidth="1" min="5" max="5"/>
    <col width="12" customWidth="1" min="6" max="6"/>
    <col width="11" customWidth="1" min="7" max="7"/>
    <col width="1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16" t="inlineStr">
        <is>
          <t>🔴 創新高  (105 檔)  |  115年5月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4" t="inlineStr">
        <is>
          <t>相較上月(4月30日),依漲跌幅排序  |  排除本月新掛牌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6" customHeight="1">
      <c r="A5" s="1" t="n"/>
      <c r="B5" s="106" t="inlineStr">
        <is>
          <t>序</t>
        </is>
      </c>
      <c r="C5" s="107" t="inlineStr">
        <is>
          <t>CB代號</t>
        </is>
      </c>
      <c r="D5" s="107" t="inlineStr">
        <is>
          <t>CB名稱</t>
        </is>
      </c>
      <c r="E5" s="107" t="inlineStr">
        <is>
          <t>上月最高</t>
        </is>
      </c>
      <c r="F5" s="107" t="inlineStr">
        <is>
          <t>本月最高</t>
        </is>
      </c>
      <c r="G5" s="107" t="inlineStr">
        <is>
          <t>增加(元)</t>
        </is>
      </c>
      <c r="H5" s="108" t="inlineStr">
        <is>
          <t>漲幅%</t>
        </is>
      </c>
    </row>
    <row r="6" ht="20" customHeight="1">
      <c r="A6" s="1" t="n"/>
      <c r="B6" s="109" t="n">
        <v>1</v>
      </c>
      <c r="C6" s="110" t="n">
        <v>61828</v>
      </c>
      <c r="D6" s="110" t="inlineStr">
        <is>
          <t>合晶八</t>
        </is>
      </c>
      <c r="E6" s="111" t="n">
        <v>144.95</v>
      </c>
      <c r="F6" s="178" t="n">
        <v>290</v>
      </c>
      <c r="G6" s="111" t="n">
        <v>145.05</v>
      </c>
      <c r="H6" s="179" t="n">
        <v>1.000689893066575</v>
      </c>
    </row>
    <row r="7" ht="20" customHeight="1">
      <c r="A7" s="1" t="n"/>
      <c r="B7" s="114" t="n">
        <v>2</v>
      </c>
      <c r="C7" s="115" t="n">
        <v>80426</v>
      </c>
      <c r="D7" s="115" t="inlineStr">
        <is>
          <t>金山電六</t>
        </is>
      </c>
      <c r="E7" s="116" t="n">
        <v>140.5</v>
      </c>
      <c r="F7" s="180" t="n">
        <v>250</v>
      </c>
      <c r="G7" s="116" t="n">
        <v>109.5</v>
      </c>
      <c r="H7" s="181" t="n">
        <v>0.7793594306049823</v>
      </c>
    </row>
    <row r="8" ht="20" customHeight="1">
      <c r="A8" s="1" t="n"/>
      <c r="B8" s="109" t="n">
        <v>3</v>
      </c>
      <c r="C8" s="110" t="n">
        <v>62076</v>
      </c>
      <c r="D8" s="110" t="inlineStr">
        <is>
          <t>雷科六</t>
        </is>
      </c>
      <c r="E8" s="111" t="n">
        <v>132.95</v>
      </c>
      <c r="F8" s="178" t="n">
        <v>228</v>
      </c>
      <c r="G8" s="111" t="n">
        <v>95.05000000000001</v>
      </c>
      <c r="H8" s="179" t="n">
        <v>0.714930424971794</v>
      </c>
    </row>
    <row r="9" ht="20" customHeight="1">
      <c r="A9" s="1" t="n"/>
      <c r="B9" s="114" t="n">
        <v>4</v>
      </c>
      <c r="C9" s="115" t="n">
        <v>62075</v>
      </c>
      <c r="D9" s="115" t="inlineStr">
        <is>
          <t>雷科五</t>
        </is>
      </c>
      <c r="E9" s="116" t="n">
        <v>131</v>
      </c>
      <c r="F9" s="180" t="n">
        <v>223</v>
      </c>
      <c r="G9" s="116" t="n">
        <v>92</v>
      </c>
      <c r="H9" s="181" t="n">
        <v>0.7022900763358778</v>
      </c>
    </row>
    <row r="10" ht="20" customHeight="1">
      <c r="A10" s="1" t="n"/>
      <c r="B10" s="109" t="n">
        <v>5</v>
      </c>
      <c r="C10" s="110" t="n">
        <v>62745</v>
      </c>
      <c r="D10" s="110" t="inlineStr">
        <is>
          <t>台燿五</t>
        </is>
      </c>
      <c r="E10" s="111" t="n">
        <v>277</v>
      </c>
      <c r="F10" s="178" t="n">
        <v>450</v>
      </c>
      <c r="G10" s="111" t="n">
        <v>173</v>
      </c>
      <c r="H10" s="179" t="n">
        <v>0.6245487364620939</v>
      </c>
    </row>
    <row r="11" ht="20" customHeight="1">
      <c r="A11" s="1" t="n"/>
      <c r="B11" s="114" t="n">
        <v>6</v>
      </c>
      <c r="C11" s="115" t="n">
        <v>80273</v>
      </c>
      <c r="D11" s="115" t="inlineStr">
        <is>
          <t>鈦昇三</t>
        </is>
      </c>
      <c r="E11" s="116" t="n">
        <v>265</v>
      </c>
      <c r="F11" s="180" t="n">
        <v>420</v>
      </c>
      <c r="G11" s="116" t="n">
        <v>155</v>
      </c>
      <c r="H11" s="181" t="n">
        <v>0.5849056603773585</v>
      </c>
    </row>
    <row r="12" ht="20" customHeight="1">
      <c r="A12" s="1" t="n"/>
      <c r="B12" s="109" t="n">
        <v>7</v>
      </c>
      <c r="C12" s="110" t="n">
        <v>24642</v>
      </c>
      <c r="D12" s="110" t="inlineStr">
        <is>
          <t>盟立二</t>
        </is>
      </c>
      <c r="E12" s="111" t="n">
        <v>148.55</v>
      </c>
      <c r="F12" s="178" t="n">
        <v>233</v>
      </c>
      <c r="G12" s="111" t="n">
        <v>84.44999999999999</v>
      </c>
      <c r="H12" s="179" t="n">
        <v>0.5684954560753954</v>
      </c>
    </row>
    <row r="13" ht="20" customHeight="1">
      <c r="A13" s="1" t="n"/>
      <c r="B13" s="114" t="n">
        <v>8</v>
      </c>
      <c r="C13" s="115" t="n">
        <v>64324</v>
      </c>
      <c r="D13" s="115" t="inlineStr">
        <is>
          <t>今展科四</t>
        </is>
      </c>
      <c r="E13" s="116" t="n">
        <v>140</v>
      </c>
      <c r="F13" s="180" t="n">
        <v>217</v>
      </c>
      <c r="G13" s="116" t="n">
        <v>77</v>
      </c>
      <c r="H13" s="181" t="n">
        <v>0.55</v>
      </c>
    </row>
    <row r="14" ht="20" customHeight="1">
      <c r="A14" s="1" t="n"/>
      <c r="B14" s="109" t="n">
        <v>9</v>
      </c>
      <c r="C14" s="110" t="n">
        <v>31351</v>
      </c>
      <c r="D14" s="110" t="inlineStr">
        <is>
          <t>凌航一</t>
        </is>
      </c>
      <c r="E14" s="111" t="n">
        <v>302</v>
      </c>
      <c r="F14" s="178" t="n">
        <v>454</v>
      </c>
      <c r="G14" s="111" t="n">
        <v>152</v>
      </c>
      <c r="H14" s="179" t="n">
        <v>0.5033112582781457</v>
      </c>
    </row>
    <row r="15" ht="20" customHeight="1">
      <c r="A15" s="1" t="n"/>
      <c r="B15" s="114" t="n">
        <v>10</v>
      </c>
      <c r="C15" s="115" t="n">
        <v>33571</v>
      </c>
      <c r="D15" s="115" t="inlineStr">
        <is>
          <t>臺慶科一</t>
        </is>
      </c>
      <c r="E15" s="116" t="n">
        <v>185</v>
      </c>
      <c r="F15" s="116" t="n">
        <v>275</v>
      </c>
      <c r="G15" s="116" t="n">
        <v>90</v>
      </c>
      <c r="H15" s="181" t="n">
        <v>0.4864864864864865</v>
      </c>
    </row>
    <row r="16" ht="20" customHeight="1">
      <c r="A16" s="1" t="n"/>
      <c r="B16" s="109" t="n">
        <v>11</v>
      </c>
      <c r="C16" s="110" t="n">
        <v>30165</v>
      </c>
      <c r="D16" s="110" t="inlineStr">
        <is>
          <t>嘉晶五</t>
        </is>
      </c>
      <c r="E16" s="111" t="n">
        <v>135.75</v>
      </c>
      <c r="F16" s="111" t="n">
        <v>201</v>
      </c>
      <c r="G16" s="111" t="n">
        <v>65.25</v>
      </c>
      <c r="H16" s="179" t="n">
        <v>0.4806629834254144</v>
      </c>
    </row>
    <row r="17" ht="20" customHeight="1">
      <c r="A17" s="1" t="n"/>
      <c r="B17" s="114" t="n">
        <v>12</v>
      </c>
      <c r="C17" s="115" t="n">
        <v>30336</v>
      </c>
      <c r="D17" s="115" t="inlineStr">
        <is>
          <t>威健六</t>
        </is>
      </c>
      <c r="E17" s="116" t="n">
        <v>150</v>
      </c>
      <c r="F17" s="116" t="n">
        <v>222</v>
      </c>
      <c r="G17" s="116" t="n">
        <v>72</v>
      </c>
      <c r="H17" s="181" t="n">
        <v>0.48</v>
      </c>
    </row>
    <row r="18" ht="20" customHeight="1">
      <c r="A18" s="1" t="n"/>
      <c r="B18" s="109" t="n">
        <v>13</v>
      </c>
      <c r="C18" s="110" t="n">
        <v>30337</v>
      </c>
      <c r="D18" s="110" t="inlineStr">
        <is>
          <t>威健七</t>
        </is>
      </c>
      <c r="E18" s="111" t="n">
        <v>111</v>
      </c>
      <c r="F18" s="111" t="n">
        <v>159</v>
      </c>
      <c r="G18" s="111" t="n">
        <v>48</v>
      </c>
      <c r="H18" s="179" t="n">
        <v>0.4324324324324325</v>
      </c>
    </row>
    <row r="19" ht="20" customHeight="1">
      <c r="A19" s="1" t="n"/>
      <c r="B19" s="114" t="n">
        <v>14</v>
      </c>
      <c r="C19" s="115" t="n">
        <v>45421</v>
      </c>
      <c r="D19" s="115" t="inlineStr">
        <is>
          <t>科嶠一</t>
        </is>
      </c>
      <c r="E19" s="116" t="n">
        <v>233</v>
      </c>
      <c r="F19" s="116" t="n">
        <v>332</v>
      </c>
      <c r="G19" s="116" t="n">
        <v>99</v>
      </c>
      <c r="H19" s="181" t="n">
        <v>0.4248927038626609</v>
      </c>
    </row>
    <row r="20" ht="20" customHeight="1">
      <c r="A20" s="1" t="n"/>
      <c r="B20" s="109" t="n">
        <v>15</v>
      </c>
      <c r="C20" s="110" t="n">
        <v>80914</v>
      </c>
      <c r="D20" s="110" t="inlineStr">
        <is>
          <t>翔名四</t>
        </is>
      </c>
      <c r="E20" s="111" t="n">
        <v>154</v>
      </c>
      <c r="F20" s="111" t="n">
        <v>210</v>
      </c>
      <c r="G20" s="111" t="n">
        <v>56</v>
      </c>
      <c r="H20" s="179" t="n">
        <v>0.3636363636363636</v>
      </c>
    </row>
    <row r="21" ht="20" customHeight="1">
      <c r="A21" s="1" t="n"/>
      <c r="B21" s="114" t="n">
        <v>16</v>
      </c>
      <c r="C21" s="115" t="n">
        <v>15952</v>
      </c>
      <c r="D21" s="115" t="inlineStr">
        <is>
          <t>川寶二</t>
        </is>
      </c>
      <c r="E21" s="116" t="n">
        <v>192</v>
      </c>
      <c r="F21" s="116" t="n">
        <v>261</v>
      </c>
      <c r="G21" s="116" t="n">
        <v>69</v>
      </c>
      <c r="H21" s="181" t="n">
        <v>0.359375</v>
      </c>
    </row>
    <row r="22" ht="20" customHeight="1">
      <c r="A22" s="1" t="n"/>
      <c r="B22" s="109" t="n">
        <v>17</v>
      </c>
      <c r="C22" s="110" t="n">
        <v>37075</v>
      </c>
      <c r="D22" s="110" t="inlineStr">
        <is>
          <t>漢磊五</t>
        </is>
      </c>
      <c r="E22" s="111" t="n">
        <v>171</v>
      </c>
      <c r="F22" s="111" t="n">
        <v>232</v>
      </c>
      <c r="G22" s="111" t="n">
        <v>61</v>
      </c>
      <c r="H22" s="179" t="n">
        <v>0.3567251461988304</v>
      </c>
    </row>
    <row r="23" ht="20" customHeight="1">
      <c r="A23" s="1" t="n"/>
      <c r="B23" s="114" t="n">
        <v>18</v>
      </c>
      <c r="C23" s="115" t="n">
        <v>23511</v>
      </c>
      <c r="D23" s="115" t="inlineStr">
        <is>
          <t>順德一</t>
        </is>
      </c>
      <c r="E23" s="116" t="n">
        <v>235</v>
      </c>
      <c r="F23" s="116" t="n">
        <v>317</v>
      </c>
      <c r="G23" s="116" t="n">
        <v>82</v>
      </c>
      <c r="H23" s="181" t="n">
        <v>0.348936170212766</v>
      </c>
    </row>
    <row r="24" ht="20" customHeight="1">
      <c r="A24" s="1" t="n"/>
      <c r="B24" s="109" t="n">
        <v>19</v>
      </c>
      <c r="C24" s="110" t="n">
        <v>15601</v>
      </c>
      <c r="D24" s="110" t="inlineStr">
        <is>
          <t>中砂一</t>
        </is>
      </c>
      <c r="E24" s="111" t="n">
        <v>196</v>
      </c>
      <c r="F24" s="111" t="n">
        <v>260</v>
      </c>
      <c r="G24" s="111" t="n">
        <v>64</v>
      </c>
      <c r="H24" s="179" t="n">
        <v>0.3265306122448979</v>
      </c>
    </row>
    <row r="25" ht="20" customHeight="1">
      <c r="A25" s="1" t="n"/>
      <c r="B25" s="114" t="n">
        <v>20</v>
      </c>
      <c r="C25" s="115" t="n">
        <v>47223</v>
      </c>
      <c r="D25" s="115" t="inlineStr">
        <is>
          <t>國精化三</t>
        </is>
      </c>
      <c r="E25" s="116" t="n">
        <v>157</v>
      </c>
      <c r="F25" s="116" t="n">
        <v>206</v>
      </c>
      <c r="G25" s="116" t="n">
        <v>49</v>
      </c>
      <c r="H25" s="181" t="n">
        <v>0.3121019108280255</v>
      </c>
    </row>
    <row r="26" ht="20" customHeight="1">
      <c r="A26" s="1" t="n"/>
      <c r="B26" s="109" t="n">
        <v>21</v>
      </c>
      <c r="C26" s="110" t="n">
        <v>80282</v>
      </c>
      <c r="D26" s="110" t="inlineStr">
        <is>
          <t>昇陽半導體二</t>
        </is>
      </c>
      <c r="E26" s="111" t="n">
        <v>181</v>
      </c>
      <c r="F26" s="111" t="n">
        <v>237</v>
      </c>
      <c r="G26" s="111" t="n">
        <v>56</v>
      </c>
      <c r="H26" s="179" t="n">
        <v>0.3093922651933702</v>
      </c>
    </row>
    <row r="27" ht="20" customHeight="1">
      <c r="A27" s="1" t="n"/>
      <c r="B27" s="114" t="n">
        <v>22</v>
      </c>
      <c r="C27" s="115" t="n">
        <v>61973</v>
      </c>
      <c r="D27" s="115" t="inlineStr">
        <is>
          <t>佳必琪三</t>
        </is>
      </c>
      <c r="E27" s="116" t="n">
        <v>149.6</v>
      </c>
      <c r="F27" s="116" t="n">
        <v>193</v>
      </c>
      <c r="G27" s="116" t="n">
        <v>43.40000000000001</v>
      </c>
      <c r="H27" s="181" t="n">
        <v>0.2901069518716578</v>
      </c>
    </row>
    <row r="28" ht="20" customHeight="1">
      <c r="A28" s="1" t="n"/>
      <c r="B28" s="109" t="n">
        <v>23</v>
      </c>
      <c r="C28" s="110" t="n">
        <v>65381</v>
      </c>
      <c r="D28" s="110" t="inlineStr">
        <is>
          <t>倉和一</t>
        </is>
      </c>
      <c r="E28" s="111" t="n">
        <v>101</v>
      </c>
      <c r="F28" s="111" t="n">
        <v>129</v>
      </c>
      <c r="G28" s="111" t="n">
        <v>28</v>
      </c>
      <c r="H28" s="179" t="n">
        <v>0.2772277227722773</v>
      </c>
    </row>
    <row r="29" ht="20" customHeight="1">
      <c r="A29" s="1" t="n"/>
      <c r="B29" s="114" t="n">
        <v>24</v>
      </c>
      <c r="C29" s="115" t="n">
        <v>64512</v>
      </c>
      <c r="D29" s="115" t="inlineStr">
        <is>
          <t>訊芯二KY</t>
        </is>
      </c>
      <c r="E29" s="116" t="n">
        <v>212</v>
      </c>
      <c r="F29" s="116" t="n">
        <v>268</v>
      </c>
      <c r="G29" s="116" t="n">
        <v>56</v>
      </c>
      <c r="H29" s="181" t="n">
        <v>0.2641509433962264</v>
      </c>
    </row>
    <row r="30" ht="20" customHeight="1">
      <c r="A30" s="1" t="n"/>
      <c r="B30" s="109" t="n">
        <v>25</v>
      </c>
      <c r="C30" s="110" t="n">
        <v>82993</v>
      </c>
      <c r="D30" s="110" t="inlineStr">
        <is>
          <t>群聯三</t>
        </is>
      </c>
      <c r="E30" s="111" t="n">
        <v>136</v>
      </c>
      <c r="F30" s="111" t="n">
        <v>171</v>
      </c>
      <c r="G30" s="111" t="n">
        <v>35</v>
      </c>
      <c r="H30" s="179" t="n">
        <v>0.2573529411764706</v>
      </c>
    </row>
    <row r="31" ht="20" customHeight="1">
      <c r="A31" s="1" t="n"/>
      <c r="B31" s="114" t="n">
        <v>26</v>
      </c>
      <c r="C31" s="115" t="n">
        <v>37022</v>
      </c>
      <c r="D31" s="115" t="inlineStr">
        <is>
          <t>大聯大二</t>
        </is>
      </c>
      <c r="E31" s="116" t="n">
        <v>132.8</v>
      </c>
      <c r="F31" s="116" t="n">
        <v>165</v>
      </c>
      <c r="G31" s="116" t="n">
        <v>32.19999999999999</v>
      </c>
      <c r="H31" s="181" t="n">
        <v>0.2424698795180722</v>
      </c>
    </row>
    <row r="32" ht="20" customHeight="1">
      <c r="A32" s="1" t="n"/>
      <c r="B32" s="109" t="n">
        <v>27</v>
      </c>
      <c r="C32" s="110" t="n">
        <v>37023</v>
      </c>
      <c r="D32" s="110" t="inlineStr">
        <is>
          <t>大聯大三</t>
        </is>
      </c>
      <c r="E32" s="111" t="n">
        <v>137</v>
      </c>
      <c r="F32" s="111" t="n">
        <v>170</v>
      </c>
      <c r="G32" s="111" t="n">
        <v>33</v>
      </c>
      <c r="H32" s="179" t="n">
        <v>0.2408759124087591</v>
      </c>
    </row>
    <row r="33" ht="20" customHeight="1">
      <c r="A33" s="1" t="n"/>
      <c r="B33" s="114" t="n">
        <v>28</v>
      </c>
      <c r="C33" s="115" t="n">
        <v>30371</v>
      </c>
      <c r="D33" s="115" t="inlineStr">
        <is>
          <t>欣興一</t>
        </is>
      </c>
      <c r="E33" s="116" t="n">
        <v>542</v>
      </c>
      <c r="F33" s="116" t="n">
        <v>666</v>
      </c>
      <c r="G33" s="116" t="n">
        <v>124</v>
      </c>
      <c r="H33" s="181" t="n">
        <v>0.2287822878228782</v>
      </c>
    </row>
    <row r="34" ht="20" customHeight="1">
      <c r="A34" s="1" t="n"/>
      <c r="B34" s="109" t="n">
        <v>29</v>
      </c>
      <c r="C34" s="110" t="n">
        <v>49165</v>
      </c>
      <c r="D34" s="110" t="inlineStr">
        <is>
          <t>事欣科五</t>
        </is>
      </c>
      <c r="E34" s="111" t="n">
        <v>169</v>
      </c>
      <c r="F34" s="111" t="n">
        <v>207</v>
      </c>
      <c r="G34" s="111" t="n">
        <v>38</v>
      </c>
      <c r="H34" s="179" t="n">
        <v>0.2248520710059172</v>
      </c>
    </row>
    <row r="35" ht="20" customHeight="1">
      <c r="A35" s="1" t="n"/>
      <c r="B35" s="114" t="n">
        <v>30</v>
      </c>
      <c r="C35" s="115" t="n">
        <v>61907</v>
      </c>
      <c r="D35" s="115" t="inlineStr">
        <is>
          <t>萬泰科七</t>
        </is>
      </c>
      <c r="E35" s="116" t="n">
        <v>178</v>
      </c>
      <c r="F35" s="116" t="n">
        <v>218</v>
      </c>
      <c r="G35" s="116" t="n">
        <v>40</v>
      </c>
      <c r="H35" s="181" t="n">
        <v>0.2247191011235955</v>
      </c>
    </row>
    <row r="36" ht="20" customHeight="1">
      <c r="A36" s="1" t="n"/>
      <c r="B36" s="109" t="n">
        <v>31</v>
      </c>
      <c r="C36" s="110" t="n">
        <v>370201</v>
      </c>
      <c r="D36" s="110" t="inlineStr">
        <is>
          <t>大聯大E1</t>
        </is>
      </c>
      <c r="E36" s="111" t="n">
        <v>156</v>
      </c>
      <c r="F36" s="111" t="n">
        <v>190</v>
      </c>
      <c r="G36" s="111" t="n">
        <v>34</v>
      </c>
      <c r="H36" s="179" t="n">
        <v>0.217948717948718</v>
      </c>
    </row>
    <row r="37" ht="20" customHeight="1">
      <c r="A37" s="1" t="n"/>
      <c r="B37" s="114" t="n">
        <v>32</v>
      </c>
      <c r="C37" s="115" t="n">
        <v>35265</v>
      </c>
      <c r="D37" s="115" t="inlineStr">
        <is>
          <t>凡甲五</t>
        </is>
      </c>
      <c r="E37" s="116" t="n">
        <v>213</v>
      </c>
      <c r="F37" s="116" t="n">
        <v>256</v>
      </c>
      <c r="G37" s="116" t="n">
        <v>43</v>
      </c>
      <c r="H37" s="181" t="n">
        <v>0.2018779342723005</v>
      </c>
    </row>
    <row r="38" ht="20" customHeight="1">
      <c r="A38" s="1" t="n"/>
      <c r="B38" s="109" t="n">
        <v>33</v>
      </c>
      <c r="C38" s="110" t="n">
        <v>60152</v>
      </c>
      <c r="D38" s="110" t="inlineStr">
        <is>
          <t>宏遠證二</t>
        </is>
      </c>
      <c r="E38" s="111" t="n">
        <v>149.9</v>
      </c>
      <c r="F38" s="111" t="n">
        <v>180</v>
      </c>
      <c r="G38" s="111" t="n">
        <v>30.09999999999999</v>
      </c>
      <c r="H38" s="179" t="n">
        <v>0.200800533689126</v>
      </c>
    </row>
    <row r="39" ht="20" customHeight="1">
      <c r="A39" s="1" t="n"/>
      <c r="B39" s="114" t="n">
        <v>34</v>
      </c>
      <c r="C39" s="115" t="n">
        <v>35266</v>
      </c>
      <c r="D39" s="115" t="inlineStr">
        <is>
          <t>凡甲六</t>
        </is>
      </c>
      <c r="E39" s="116" t="n">
        <v>173</v>
      </c>
      <c r="F39" s="116" t="n">
        <v>207</v>
      </c>
      <c r="G39" s="116" t="n">
        <v>34</v>
      </c>
      <c r="H39" s="181" t="n">
        <v>0.1965317919075145</v>
      </c>
    </row>
    <row r="40" ht="20" customHeight="1">
      <c r="A40" s="1" t="n"/>
      <c r="B40" s="109" t="n">
        <v>35</v>
      </c>
      <c r="C40" s="110" t="n">
        <v>62843</v>
      </c>
      <c r="D40" s="110" t="inlineStr">
        <is>
          <t>佳邦三</t>
        </is>
      </c>
      <c r="E40" s="111" t="n">
        <v>133.5</v>
      </c>
      <c r="F40" s="111" t="n">
        <v>156</v>
      </c>
      <c r="G40" s="111" t="n">
        <v>22.5</v>
      </c>
      <c r="H40" s="179" t="n">
        <v>0.1685393258426966</v>
      </c>
    </row>
    <row r="41" ht="20" customHeight="1">
      <c r="A41" s="1" t="n"/>
      <c r="B41" s="114" t="n">
        <v>36</v>
      </c>
      <c r="C41" s="115" t="n">
        <v>35831</v>
      </c>
      <c r="D41" s="115" t="inlineStr">
        <is>
          <t>辛耘一</t>
        </is>
      </c>
      <c r="E41" s="116" t="n">
        <v>243</v>
      </c>
      <c r="F41" s="116" t="n">
        <v>281</v>
      </c>
      <c r="G41" s="116" t="n">
        <v>38</v>
      </c>
      <c r="H41" s="181" t="n">
        <v>0.1563786008230453</v>
      </c>
    </row>
    <row r="42" ht="20" customHeight="1">
      <c r="A42" s="1" t="n"/>
      <c r="B42" s="109" t="n">
        <v>37</v>
      </c>
      <c r="C42" s="110" t="n">
        <v>49231</v>
      </c>
      <c r="D42" s="110" t="inlineStr">
        <is>
          <t>力士一</t>
        </is>
      </c>
      <c r="E42" s="111" t="n">
        <v>123.45</v>
      </c>
      <c r="F42" s="111" t="n">
        <v>142.35</v>
      </c>
      <c r="G42" s="111" t="n">
        <v>18.89999999999999</v>
      </c>
      <c r="H42" s="179" t="n">
        <v>0.1530984204131227</v>
      </c>
    </row>
    <row r="43" ht="20" customHeight="1">
      <c r="A43" s="1" t="n"/>
      <c r="B43" s="114" t="n">
        <v>38</v>
      </c>
      <c r="C43" s="115" t="n">
        <v>68211</v>
      </c>
      <c r="D43" s="115" t="inlineStr">
        <is>
          <t>聯寶一</t>
        </is>
      </c>
      <c r="E43" s="116" t="n">
        <v>155</v>
      </c>
      <c r="F43" s="116" t="n">
        <v>178</v>
      </c>
      <c r="G43" s="116" t="n">
        <v>23</v>
      </c>
      <c r="H43" s="181" t="n">
        <v>0.1483870967741935</v>
      </c>
    </row>
    <row r="44" ht="20" customHeight="1">
      <c r="A44" s="1" t="n"/>
      <c r="B44" s="109" t="n">
        <v>39</v>
      </c>
      <c r="C44" s="110" t="n">
        <v>35832</v>
      </c>
      <c r="D44" s="110" t="inlineStr">
        <is>
          <t>辛耘二</t>
        </is>
      </c>
      <c r="E44" s="111" t="n">
        <v>255</v>
      </c>
      <c r="F44" s="111" t="n">
        <v>292</v>
      </c>
      <c r="G44" s="111" t="n">
        <v>37</v>
      </c>
      <c r="H44" s="179" t="n">
        <v>0.1450980392156863</v>
      </c>
    </row>
    <row r="45" ht="20" customHeight="1">
      <c r="A45" s="1" t="n"/>
      <c r="B45" s="114" t="n">
        <v>40</v>
      </c>
      <c r="C45" s="115" t="n">
        <v>22331</v>
      </c>
      <c r="D45" s="115" t="inlineStr">
        <is>
          <t>宇隆一</t>
        </is>
      </c>
      <c r="E45" s="116" t="n">
        <v>153</v>
      </c>
      <c r="F45" s="116" t="n">
        <v>175</v>
      </c>
      <c r="G45" s="116" t="n">
        <v>22</v>
      </c>
      <c r="H45" s="181" t="n">
        <v>0.1437908496732026</v>
      </c>
    </row>
    <row r="46" ht="20" customHeight="1">
      <c r="A46" s="1" t="n"/>
      <c r="B46" s="109" t="n">
        <v>41</v>
      </c>
      <c r="C46" s="110" t="n">
        <v>24673</v>
      </c>
      <c r="D46" s="110" t="inlineStr">
        <is>
          <t>志聖三</t>
        </is>
      </c>
      <c r="E46" s="111" t="n">
        <v>244</v>
      </c>
      <c r="F46" s="111" t="n">
        <v>277</v>
      </c>
      <c r="G46" s="111" t="n">
        <v>33</v>
      </c>
      <c r="H46" s="179" t="n">
        <v>0.1352459016393443</v>
      </c>
    </row>
    <row r="47" ht="20" customHeight="1">
      <c r="A47" s="1" t="n"/>
      <c r="B47" s="114" t="n">
        <v>42</v>
      </c>
      <c r="C47" s="115" t="n">
        <v>67152</v>
      </c>
      <c r="D47" s="115" t="inlineStr">
        <is>
          <t>嘉基二</t>
        </is>
      </c>
      <c r="E47" s="116" t="n">
        <v>294</v>
      </c>
      <c r="F47" s="116" t="n">
        <v>332</v>
      </c>
      <c r="G47" s="116" t="n">
        <v>38</v>
      </c>
      <c r="H47" s="181" t="n">
        <v>0.1292517006802721</v>
      </c>
    </row>
    <row r="48" ht="20" customHeight="1">
      <c r="A48" s="1" t="n"/>
      <c r="B48" s="109" t="n">
        <v>43</v>
      </c>
      <c r="C48" s="110" t="n">
        <v>24672</v>
      </c>
      <c r="D48" s="110" t="inlineStr">
        <is>
          <t>志聖二</t>
        </is>
      </c>
      <c r="E48" s="111" t="n">
        <v>242</v>
      </c>
      <c r="F48" s="111" t="n">
        <v>273</v>
      </c>
      <c r="G48" s="111" t="n">
        <v>31</v>
      </c>
      <c r="H48" s="179" t="n">
        <v>0.128099173553719</v>
      </c>
    </row>
    <row r="49" ht="20" customHeight="1">
      <c r="A49" s="1" t="n"/>
      <c r="B49" s="114" t="n">
        <v>44</v>
      </c>
      <c r="C49" s="115" t="n">
        <v>35267</v>
      </c>
      <c r="D49" s="115" t="inlineStr">
        <is>
          <t>凡甲七</t>
        </is>
      </c>
      <c r="E49" s="116" t="n">
        <v>140.1</v>
      </c>
      <c r="F49" s="116" t="n">
        <v>158</v>
      </c>
      <c r="G49" s="116" t="n">
        <v>17.90000000000001</v>
      </c>
      <c r="H49" s="181" t="n">
        <v>0.1277658815132049</v>
      </c>
    </row>
    <row r="50" ht="20" customHeight="1">
      <c r="A50" s="1" t="n"/>
      <c r="B50" s="109" t="n">
        <v>45</v>
      </c>
      <c r="C50" s="110" t="n">
        <v>629010</v>
      </c>
      <c r="D50" s="110" t="inlineStr">
        <is>
          <t>良維十</t>
        </is>
      </c>
      <c r="E50" s="111" t="n">
        <v>415</v>
      </c>
      <c r="F50" s="111" t="n">
        <v>468</v>
      </c>
      <c r="G50" s="111" t="n">
        <v>53</v>
      </c>
      <c r="H50" s="179" t="n">
        <v>0.127710843373494</v>
      </c>
    </row>
    <row r="51" ht="20" customHeight="1">
      <c r="A51" s="1" t="n"/>
      <c r="B51" s="114" t="n">
        <v>46</v>
      </c>
      <c r="C51" s="115" t="n">
        <v>45554</v>
      </c>
      <c r="D51" s="115" t="inlineStr">
        <is>
          <t>氣立四</t>
        </is>
      </c>
      <c r="E51" s="116" t="n">
        <v>123.5</v>
      </c>
      <c r="F51" s="116" t="n">
        <v>138.9</v>
      </c>
      <c r="G51" s="116" t="n">
        <v>15.40000000000001</v>
      </c>
      <c r="H51" s="181" t="n">
        <v>0.1246963562753037</v>
      </c>
    </row>
    <row r="52" ht="20" customHeight="1">
      <c r="A52" s="1" t="n"/>
      <c r="B52" s="109" t="n">
        <v>47</v>
      </c>
      <c r="C52" s="110" t="n">
        <v>24553</v>
      </c>
      <c r="D52" s="110" t="inlineStr">
        <is>
          <t>全新三</t>
        </is>
      </c>
      <c r="E52" s="111" t="n">
        <v>269</v>
      </c>
      <c r="F52" s="111" t="n">
        <v>302</v>
      </c>
      <c r="G52" s="111" t="n">
        <v>33</v>
      </c>
      <c r="H52" s="179" t="n">
        <v>0.1226765799256506</v>
      </c>
    </row>
    <row r="53" ht="20" customHeight="1">
      <c r="A53" s="1" t="n"/>
      <c r="B53" s="114" t="n">
        <v>48</v>
      </c>
      <c r="C53" s="115" t="n">
        <v>67062</v>
      </c>
      <c r="D53" s="115" t="inlineStr">
        <is>
          <t>惠特二</t>
        </is>
      </c>
      <c r="E53" s="116" t="n">
        <v>115.95</v>
      </c>
      <c r="F53" s="116" t="n">
        <v>130.05</v>
      </c>
      <c r="G53" s="116" t="n">
        <v>14.10000000000001</v>
      </c>
      <c r="H53" s="181" t="n">
        <v>0.1216041397153946</v>
      </c>
    </row>
    <row r="54" ht="20" customHeight="1">
      <c r="A54" s="1" t="n"/>
      <c r="B54" s="109" t="n">
        <v>49</v>
      </c>
      <c r="C54" s="110" t="n">
        <v>54342</v>
      </c>
      <c r="D54" s="110" t="inlineStr">
        <is>
          <t>崇越二</t>
        </is>
      </c>
      <c r="E54" s="111" t="n">
        <v>232</v>
      </c>
      <c r="F54" s="111" t="n">
        <v>260</v>
      </c>
      <c r="G54" s="111" t="n">
        <v>28</v>
      </c>
      <c r="H54" s="179" t="n">
        <v>0.1206896551724138</v>
      </c>
    </row>
    <row r="55" ht="20" customHeight="1">
      <c r="A55" s="1" t="n"/>
      <c r="B55" s="114" t="n">
        <v>50</v>
      </c>
      <c r="C55" s="115" t="n">
        <v>36913</v>
      </c>
      <c r="D55" s="115" t="inlineStr">
        <is>
          <t>碩禾三</t>
        </is>
      </c>
      <c r="E55" s="116" t="n">
        <v>127</v>
      </c>
      <c r="F55" s="116" t="n">
        <v>141.95</v>
      </c>
      <c r="G55" s="116" t="n">
        <v>14.94999999999999</v>
      </c>
      <c r="H55" s="181" t="n">
        <v>0.1177165354330708</v>
      </c>
    </row>
    <row r="56" ht="20" customHeight="1">
      <c r="A56" s="1" t="n"/>
      <c r="B56" s="109" t="n">
        <v>51</v>
      </c>
      <c r="C56" s="110" t="n">
        <v>24866</v>
      </c>
      <c r="D56" s="110" t="inlineStr">
        <is>
          <t>一詮六</t>
        </is>
      </c>
      <c r="E56" s="111" t="n">
        <v>220</v>
      </c>
      <c r="F56" s="111" t="n">
        <v>245</v>
      </c>
      <c r="G56" s="111" t="n">
        <v>25</v>
      </c>
      <c r="H56" s="179" t="n">
        <v>0.1136363636363636</v>
      </c>
    </row>
    <row r="57" ht="20" customHeight="1">
      <c r="A57" s="1" t="n"/>
      <c r="B57" s="114" t="n">
        <v>52</v>
      </c>
      <c r="C57" s="115" t="n">
        <v>22363</v>
      </c>
      <c r="D57" s="115" t="inlineStr">
        <is>
          <t>百達三K</t>
        </is>
      </c>
      <c r="E57" s="116" t="n">
        <v>111</v>
      </c>
      <c r="F57" s="116" t="n">
        <v>123.6</v>
      </c>
      <c r="G57" s="116" t="n">
        <v>12.59999999999999</v>
      </c>
      <c r="H57" s="181" t="n">
        <v>0.1135135135135135</v>
      </c>
    </row>
    <row r="58" ht="20" customHeight="1">
      <c r="A58" s="1" t="n"/>
      <c r="B58" s="109" t="n">
        <v>53</v>
      </c>
      <c r="C58" s="110" t="n">
        <v>35161</v>
      </c>
      <c r="D58" s="110" t="inlineStr">
        <is>
          <t>亞帝歐一</t>
        </is>
      </c>
      <c r="E58" s="111" t="n">
        <v>120.1</v>
      </c>
      <c r="F58" s="111" t="n">
        <v>133.5</v>
      </c>
      <c r="G58" s="111" t="n">
        <v>13.40000000000001</v>
      </c>
      <c r="H58" s="179" t="n">
        <v>0.1115736885928394</v>
      </c>
    </row>
    <row r="59" ht="20" customHeight="1">
      <c r="A59" s="1" t="n"/>
      <c r="B59" s="114" t="n">
        <v>54</v>
      </c>
      <c r="C59" s="115" t="n">
        <v>24552</v>
      </c>
      <c r="D59" s="115" t="inlineStr">
        <is>
          <t>全新二</t>
        </is>
      </c>
      <c r="E59" s="116" t="n">
        <v>255</v>
      </c>
      <c r="F59" s="116" t="n">
        <v>283</v>
      </c>
      <c r="G59" s="116" t="n">
        <v>28</v>
      </c>
      <c r="H59" s="181" t="n">
        <v>0.1098039215686274</v>
      </c>
    </row>
    <row r="60" ht="20" customHeight="1">
      <c r="A60" s="1" t="n"/>
      <c r="B60" s="109" t="n">
        <v>55</v>
      </c>
      <c r="C60" s="110" t="n">
        <v>68301</v>
      </c>
      <c r="D60" s="110" t="inlineStr">
        <is>
          <t>汎銓一</t>
        </is>
      </c>
      <c r="E60" s="111" t="n">
        <v>589</v>
      </c>
      <c r="F60" s="111" t="n">
        <v>646</v>
      </c>
      <c r="G60" s="111" t="n">
        <v>57</v>
      </c>
      <c r="H60" s="179" t="n">
        <v>0.09677419354838709</v>
      </c>
    </row>
    <row r="61" ht="20" customHeight="1">
      <c r="A61" s="1" t="n"/>
      <c r="B61" s="114" t="n">
        <v>56</v>
      </c>
      <c r="C61" s="115" t="n">
        <v>81114</v>
      </c>
      <c r="D61" s="115" t="inlineStr">
        <is>
          <t>立碁四</t>
        </is>
      </c>
      <c r="E61" s="116" t="n">
        <v>122.2</v>
      </c>
      <c r="F61" s="116" t="n">
        <v>134</v>
      </c>
      <c r="G61" s="116" t="n">
        <v>11.8</v>
      </c>
      <c r="H61" s="181" t="n">
        <v>0.09656301145662845</v>
      </c>
    </row>
    <row r="62" ht="20" customHeight="1">
      <c r="A62" s="1" t="n"/>
      <c r="B62" s="109" t="n">
        <v>57</v>
      </c>
      <c r="C62" s="110" t="n">
        <v>81551</v>
      </c>
      <c r="D62" s="110" t="inlineStr">
        <is>
          <t>博智一</t>
        </is>
      </c>
      <c r="E62" s="111" t="n">
        <v>355</v>
      </c>
      <c r="F62" s="111" t="n">
        <v>389</v>
      </c>
      <c r="G62" s="111" t="n">
        <v>34</v>
      </c>
      <c r="H62" s="179" t="n">
        <v>0.09577464788732394</v>
      </c>
    </row>
    <row r="63" ht="20" customHeight="1">
      <c r="A63" s="1" t="n"/>
      <c r="B63" s="114" t="n">
        <v>58</v>
      </c>
      <c r="C63" s="115" t="n">
        <v>62093</v>
      </c>
      <c r="D63" s="115" t="inlineStr">
        <is>
          <t>今國光三</t>
        </is>
      </c>
      <c r="E63" s="116" t="n">
        <v>206</v>
      </c>
      <c r="F63" s="116" t="n">
        <v>224</v>
      </c>
      <c r="G63" s="116" t="n">
        <v>18</v>
      </c>
      <c r="H63" s="181" t="n">
        <v>0.08737864077669903</v>
      </c>
    </row>
    <row r="64" ht="20" customHeight="1">
      <c r="A64" s="1" t="n"/>
      <c r="B64" s="109" t="n">
        <v>59</v>
      </c>
      <c r="C64" s="110" t="n">
        <v>82102</v>
      </c>
      <c r="D64" s="110" t="inlineStr">
        <is>
          <t>勤誠二</t>
        </is>
      </c>
      <c r="E64" s="111" t="n">
        <v>161</v>
      </c>
      <c r="F64" s="111" t="n">
        <v>175</v>
      </c>
      <c r="G64" s="111" t="n">
        <v>14</v>
      </c>
      <c r="H64" s="179" t="n">
        <v>0.08695652173913043</v>
      </c>
    </row>
    <row r="65" ht="20" customHeight="1">
      <c r="A65" s="1" t="n"/>
      <c r="B65" s="114" t="n">
        <v>60</v>
      </c>
      <c r="C65" s="115" t="n">
        <v>64251</v>
      </c>
      <c r="D65" s="115" t="inlineStr">
        <is>
          <t>易發一</t>
        </is>
      </c>
      <c r="E65" s="116" t="n">
        <v>162</v>
      </c>
      <c r="F65" s="116" t="n">
        <v>176</v>
      </c>
      <c r="G65" s="116" t="n">
        <v>14</v>
      </c>
      <c r="H65" s="181" t="n">
        <v>0.08641975308641975</v>
      </c>
    </row>
    <row r="66" ht="20" customHeight="1">
      <c r="A66" s="1" t="n"/>
      <c r="B66" s="109" t="n">
        <v>61</v>
      </c>
      <c r="C66" s="110" t="n">
        <v>34793</v>
      </c>
      <c r="D66" s="110" t="inlineStr">
        <is>
          <t>安勤三</t>
        </is>
      </c>
      <c r="E66" s="111" t="n">
        <v>123</v>
      </c>
      <c r="F66" s="111" t="n">
        <v>133</v>
      </c>
      <c r="G66" s="111" t="n">
        <v>10</v>
      </c>
      <c r="H66" s="179" t="n">
        <v>0.08130081300813008</v>
      </c>
    </row>
    <row r="67" ht="20" customHeight="1">
      <c r="A67" s="1" t="n"/>
      <c r="B67" s="114" t="n">
        <v>62</v>
      </c>
      <c r="C67" s="115" t="n">
        <v>31312</v>
      </c>
      <c r="D67" s="115" t="inlineStr">
        <is>
          <t>弘塑二</t>
        </is>
      </c>
      <c r="E67" s="116" t="n">
        <v>216</v>
      </c>
      <c r="F67" s="116" t="n">
        <v>232</v>
      </c>
      <c r="G67" s="116" t="n">
        <v>16</v>
      </c>
      <c r="H67" s="181" t="n">
        <v>0.07407407407407407</v>
      </c>
    </row>
    <row r="68" ht="20" customHeight="1">
      <c r="A68" s="1" t="n"/>
      <c r="B68" s="109" t="n">
        <v>63</v>
      </c>
      <c r="C68" s="110" t="n">
        <v>33902</v>
      </c>
      <c r="D68" s="110" t="inlineStr">
        <is>
          <t>旭軟二</t>
        </is>
      </c>
      <c r="E68" s="111" t="n">
        <v>135</v>
      </c>
      <c r="F68" s="111" t="n">
        <v>145</v>
      </c>
      <c r="G68" s="111" t="n">
        <v>10</v>
      </c>
      <c r="H68" s="179" t="n">
        <v>0.07407407407407407</v>
      </c>
    </row>
    <row r="69" ht="20" customHeight="1">
      <c r="A69" s="1" t="n"/>
      <c r="B69" s="114" t="n">
        <v>64</v>
      </c>
      <c r="C69" s="115" t="n">
        <v>82103</v>
      </c>
      <c r="D69" s="115" t="inlineStr">
        <is>
          <t>勤誠三</t>
        </is>
      </c>
      <c r="E69" s="116" t="n">
        <v>163</v>
      </c>
      <c r="F69" s="116" t="n">
        <v>175</v>
      </c>
      <c r="G69" s="116" t="n">
        <v>12</v>
      </c>
      <c r="H69" s="181" t="n">
        <v>0.0736196319018405</v>
      </c>
    </row>
    <row r="70" ht="20" customHeight="1">
      <c r="A70" s="1" t="n"/>
      <c r="B70" s="109" t="n">
        <v>65</v>
      </c>
      <c r="C70" s="110" t="n">
        <v>31311</v>
      </c>
      <c r="D70" s="110" t="inlineStr">
        <is>
          <t>弘塑一</t>
        </is>
      </c>
      <c r="E70" s="111" t="n">
        <v>203</v>
      </c>
      <c r="F70" s="111" t="n">
        <v>217</v>
      </c>
      <c r="G70" s="111" t="n">
        <v>14</v>
      </c>
      <c r="H70" s="179" t="n">
        <v>0.06896551724137931</v>
      </c>
    </row>
    <row r="71" ht="20" customHeight="1">
      <c r="A71" s="1" t="n"/>
      <c r="B71" s="114" t="n">
        <v>66</v>
      </c>
      <c r="C71" s="115" t="n">
        <v>33881</v>
      </c>
      <c r="D71" s="115" t="inlineStr">
        <is>
          <t>崇越電一</t>
        </is>
      </c>
      <c r="E71" s="116" t="n">
        <v>189</v>
      </c>
      <c r="F71" s="116" t="n">
        <v>202</v>
      </c>
      <c r="G71" s="116" t="n">
        <v>13</v>
      </c>
      <c r="H71" s="181" t="n">
        <v>0.06878306878306878</v>
      </c>
    </row>
    <row r="72" ht="20" customHeight="1">
      <c r="A72" s="1" t="n"/>
      <c r="B72" s="109" t="n">
        <v>67</v>
      </c>
      <c r="C72" s="110" t="n">
        <v>31672</v>
      </c>
      <c r="D72" s="110" t="inlineStr">
        <is>
          <t>大量二</t>
        </is>
      </c>
      <c r="E72" s="111" t="n">
        <v>504</v>
      </c>
      <c r="F72" s="111" t="n">
        <v>536</v>
      </c>
      <c r="G72" s="111" t="n">
        <v>32</v>
      </c>
      <c r="H72" s="179" t="n">
        <v>0.06349206349206349</v>
      </c>
    </row>
    <row r="73" ht="20" customHeight="1">
      <c r="A73" s="1" t="n"/>
      <c r="B73" s="114" t="n">
        <v>68</v>
      </c>
      <c r="C73" s="115" t="n">
        <v>15142</v>
      </c>
      <c r="D73" s="115" t="inlineStr">
        <is>
          <t>亞力二</t>
        </is>
      </c>
      <c r="E73" s="116" t="n">
        <v>139.65</v>
      </c>
      <c r="F73" s="116" t="n">
        <v>148</v>
      </c>
      <c r="G73" s="116" t="n">
        <v>8.349999999999994</v>
      </c>
      <c r="H73" s="181" t="n">
        <v>0.05979233798782667</v>
      </c>
    </row>
    <row r="74" ht="20" customHeight="1">
      <c r="A74" s="1" t="n"/>
      <c r="B74" s="109" t="n">
        <v>69</v>
      </c>
      <c r="C74" s="110" t="n">
        <v>65096</v>
      </c>
      <c r="D74" s="110" t="inlineStr">
        <is>
          <t>聚和六</t>
        </is>
      </c>
      <c r="E74" s="111" t="n">
        <v>133</v>
      </c>
      <c r="F74" s="111" t="n">
        <v>140.5</v>
      </c>
      <c r="G74" s="111" t="n">
        <v>7.5</v>
      </c>
      <c r="H74" s="179" t="n">
        <v>0.05639097744360902</v>
      </c>
    </row>
    <row r="75" ht="20" customHeight="1">
      <c r="A75" s="1" t="n"/>
      <c r="B75" s="114" t="n">
        <v>70</v>
      </c>
      <c r="C75" s="115" t="n">
        <v>69131</v>
      </c>
      <c r="D75" s="115" t="inlineStr">
        <is>
          <t>鴻呈一</t>
        </is>
      </c>
      <c r="E75" s="116" t="n">
        <v>141</v>
      </c>
      <c r="F75" s="116" t="n">
        <v>148.95</v>
      </c>
      <c r="G75" s="116" t="n">
        <v>7.949999999999989</v>
      </c>
      <c r="H75" s="181" t="n">
        <v>0.05638297872340418</v>
      </c>
    </row>
    <row r="76" ht="20" customHeight="1">
      <c r="A76" s="1" t="n"/>
      <c r="B76" s="109" t="n">
        <v>71</v>
      </c>
      <c r="C76" s="110" t="n">
        <v>23742</v>
      </c>
      <c r="D76" s="110" t="inlineStr">
        <is>
          <t>佳能二</t>
        </is>
      </c>
      <c r="E76" s="111" t="n">
        <v>130</v>
      </c>
      <c r="F76" s="111" t="n">
        <v>137</v>
      </c>
      <c r="G76" s="111" t="n">
        <v>7</v>
      </c>
      <c r="H76" s="179" t="n">
        <v>0.05384615384615385</v>
      </c>
    </row>
    <row r="77" ht="20" customHeight="1">
      <c r="A77" s="1" t="n"/>
      <c r="B77" s="114" t="n">
        <v>72</v>
      </c>
      <c r="C77" s="115" t="n">
        <v>49674</v>
      </c>
      <c r="D77" s="115" t="inlineStr">
        <is>
          <t>十銓四</t>
        </is>
      </c>
      <c r="E77" s="116" t="n">
        <v>207</v>
      </c>
      <c r="F77" s="116" t="n">
        <v>217</v>
      </c>
      <c r="G77" s="116" t="n">
        <v>10</v>
      </c>
      <c r="H77" s="181" t="n">
        <v>0.04830917874396135</v>
      </c>
    </row>
    <row r="78" ht="20" customHeight="1">
      <c r="A78" s="1" t="n"/>
      <c r="B78" s="109" t="n">
        <v>73</v>
      </c>
      <c r="C78" s="110" t="n">
        <v>12561</v>
      </c>
      <c r="D78" s="110" t="inlineStr">
        <is>
          <t>鮮活果汁一KY</t>
        </is>
      </c>
      <c r="E78" s="111" t="n">
        <v>104</v>
      </c>
      <c r="F78" s="111" t="n">
        <v>109</v>
      </c>
      <c r="G78" s="111" t="n">
        <v>5</v>
      </c>
      <c r="H78" s="179" t="n">
        <v>0.04807692307692308</v>
      </c>
    </row>
    <row r="79" ht="20" customHeight="1">
      <c r="A79" s="1" t="n"/>
      <c r="B79" s="114" t="n">
        <v>74</v>
      </c>
      <c r="C79" s="115" t="n">
        <v>35872</v>
      </c>
      <c r="D79" s="115" t="inlineStr">
        <is>
          <t>閎康二</t>
        </is>
      </c>
      <c r="E79" s="116" t="n">
        <v>192</v>
      </c>
      <c r="F79" s="116" t="n">
        <v>201</v>
      </c>
      <c r="G79" s="116" t="n">
        <v>9</v>
      </c>
      <c r="H79" s="181" t="n">
        <v>0.046875</v>
      </c>
    </row>
    <row r="80" ht="20" customHeight="1">
      <c r="A80" s="1" t="n"/>
      <c r="B80" s="109" t="n">
        <v>75</v>
      </c>
      <c r="C80" s="110" t="n">
        <v>47394</v>
      </c>
      <c r="D80" s="110" t="inlineStr">
        <is>
          <t>康普四</t>
        </is>
      </c>
      <c r="E80" s="111" t="n">
        <v>160</v>
      </c>
      <c r="F80" s="111" t="n">
        <v>167</v>
      </c>
      <c r="G80" s="111" t="n">
        <v>7</v>
      </c>
      <c r="H80" s="179" t="n">
        <v>0.04375</v>
      </c>
    </row>
    <row r="81" ht="20" customHeight="1">
      <c r="A81" s="1" t="n"/>
      <c r="B81" s="114" t="n">
        <v>76</v>
      </c>
      <c r="C81" s="115" t="n">
        <v>36804</v>
      </c>
      <c r="D81" s="115" t="inlineStr">
        <is>
          <t>家登四</t>
        </is>
      </c>
      <c r="E81" s="116" t="n">
        <v>168</v>
      </c>
      <c r="F81" s="116" t="n">
        <v>175</v>
      </c>
      <c r="G81" s="116" t="n">
        <v>7</v>
      </c>
      <c r="H81" s="181" t="n">
        <v>0.04166666666666666</v>
      </c>
    </row>
    <row r="82" ht="20" customHeight="1">
      <c r="A82" s="1" t="n"/>
      <c r="B82" s="109" t="n">
        <v>77</v>
      </c>
      <c r="C82" s="110" t="n">
        <v>65761</v>
      </c>
      <c r="D82" s="110" t="inlineStr">
        <is>
          <t>逸達一</t>
        </is>
      </c>
      <c r="E82" s="111" t="n">
        <v>123</v>
      </c>
      <c r="F82" s="111" t="n">
        <v>127.85</v>
      </c>
      <c r="G82" s="111" t="n">
        <v>4.849999999999994</v>
      </c>
      <c r="H82" s="179" t="n">
        <v>0.03943089430894305</v>
      </c>
    </row>
    <row r="83" ht="20" customHeight="1">
      <c r="A83" s="1" t="n"/>
      <c r="B83" s="114" t="n">
        <v>78</v>
      </c>
      <c r="C83" s="115" t="n">
        <v>30954</v>
      </c>
      <c r="D83" s="115" t="inlineStr">
        <is>
          <t>及成四</t>
        </is>
      </c>
      <c r="E83" s="116" t="n">
        <v>129</v>
      </c>
      <c r="F83" s="116" t="n">
        <v>134</v>
      </c>
      <c r="G83" s="116" t="n">
        <v>5</v>
      </c>
      <c r="H83" s="181" t="n">
        <v>0.03875968992248062</v>
      </c>
    </row>
    <row r="84" ht="20" customHeight="1">
      <c r="A84" s="1" t="n"/>
      <c r="B84" s="109" t="n">
        <v>79</v>
      </c>
      <c r="C84" s="110" t="n">
        <v>24762</v>
      </c>
      <c r="D84" s="110" t="inlineStr">
        <is>
          <t>鉅祥二</t>
        </is>
      </c>
      <c r="E84" s="111" t="n">
        <v>191</v>
      </c>
      <c r="F84" s="111" t="n">
        <v>198</v>
      </c>
      <c r="G84" s="111" t="n">
        <v>7</v>
      </c>
      <c r="H84" s="179" t="n">
        <v>0.03664921465968586</v>
      </c>
    </row>
    <row r="85" ht="20" customHeight="1">
      <c r="A85" s="1" t="n"/>
      <c r="B85" s="114" t="n">
        <v>80</v>
      </c>
      <c r="C85" s="115" t="n">
        <v>37171</v>
      </c>
      <c r="D85" s="115" t="inlineStr">
        <is>
          <t>聯嘉投控一</t>
        </is>
      </c>
      <c r="E85" s="116" t="n">
        <v>135</v>
      </c>
      <c r="F85" s="116" t="n">
        <v>139.9</v>
      </c>
      <c r="G85" s="116" t="n">
        <v>4.900000000000006</v>
      </c>
      <c r="H85" s="181" t="n">
        <v>0.03629629629629634</v>
      </c>
    </row>
    <row r="86" ht="20" customHeight="1">
      <c r="A86" s="1" t="n"/>
      <c r="B86" s="109" t="n">
        <v>81</v>
      </c>
      <c r="C86" s="110" t="n">
        <v>49794</v>
      </c>
      <c r="D86" s="110" t="inlineStr">
        <is>
          <t>華星光四</t>
        </is>
      </c>
      <c r="E86" s="111" t="n">
        <v>333</v>
      </c>
      <c r="F86" s="111" t="n">
        <v>345</v>
      </c>
      <c r="G86" s="111" t="n">
        <v>12</v>
      </c>
      <c r="H86" s="179" t="n">
        <v>0.03603603603603604</v>
      </c>
    </row>
    <row r="87" ht="20" customHeight="1">
      <c r="A87" s="1" t="n"/>
      <c r="B87" s="114" t="n">
        <v>82</v>
      </c>
      <c r="C87" s="115" t="n">
        <v>61012</v>
      </c>
      <c r="D87" s="115" t="inlineStr">
        <is>
          <t>寬魚國際二</t>
        </is>
      </c>
      <c r="E87" s="116" t="n">
        <v>101</v>
      </c>
      <c r="F87" s="116" t="n">
        <v>104.5</v>
      </c>
      <c r="G87" s="116" t="n">
        <v>3.5</v>
      </c>
      <c r="H87" s="181" t="n">
        <v>0.03465346534653466</v>
      </c>
    </row>
    <row r="88" ht="20" customHeight="1">
      <c r="A88" s="1" t="n"/>
      <c r="B88" s="109" t="n">
        <v>83</v>
      </c>
      <c r="C88" s="110" t="n">
        <v>23683</v>
      </c>
      <c r="D88" s="110" t="inlineStr">
        <is>
          <t>金像電三</t>
        </is>
      </c>
      <c r="E88" s="111" t="n">
        <v>323</v>
      </c>
      <c r="F88" s="111" t="n">
        <v>334</v>
      </c>
      <c r="G88" s="111" t="n">
        <v>11</v>
      </c>
      <c r="H88" s="179" t="n">
        <v>0.03405572755417956</v>
      </c>
    </row>
    <row r="89" ht="20" customHeight="1">
      <c r="A89" s="1" t="n"/>
      <c r="B89" s="114" t="n">
        <v>84</v>
      </c>
      <c r="C89" s="115" t="n">
        <v>66702</v>
      </c>
      <c r="D89" s="115" t="inlineStr">
        <is>
          <t>復盛應用二</t>
        </is>
      </c>
      <c r="E89" s="116" t="n">
        <v>121</v>
      </c>
      <c r="F89" s="116" t="n">
        <v>125</v>
      </c>
      <c r="G89" s="116" t="n">
        <v>4</v>
      </c>
      <c r="H89" s="181" t="n">
        <v>0.03305785123966942</v>
      </c>
    </row>
    <row r="90" ht="20" customHeight="1">
      <c r="A90" s="1" t="n"/>
      <c r="B90" s="109" t="n">
        <v>85</v>
      </c>
      <c r="C90" s="110" t="n">
        <v>61827</v>
      </c>
      <c r="D90" s="110" t="inlineStr">
        <is>
          <t>合晶七</t>
        </is>
      </c>
      <c r="E90" s="111" t="n">
        <v>154</v>
      </c>
      <c r="F90" s="111" t="n">
        <v>159</v>
      </c>
      <c r="G90" s="111" t="n">
        <v>5</v>
      </c>
      <c r="H90" s="179" t="n">
        <v>0.03246753246753246</v>
      </c>
    </row>
    <row r="91" ht="20" customHeight="1">
      <c r="A91" s="1" t="n"/>
      <c r="B91" s="114" t="n">
        <v>86</v>
      </c>
      <c r="C91" s="115" t="n">
        <v>66722</v>
      </c>
      <c r="D91" s="115" t="inlineStr">
        <is>
          <t>騰輝二KY</t>
        </is>
      </c>
      <c r="E91" s="116" t="n">
        <v>246</v>
      </c>
      <c r="F91" s="116" t="n">
        <v>253</v>
      </c>
      <c r="G91" s="116" t="n">
        <v>7</v>
      </c>
      <c r="H91" s="181" t="n">
        <v>0.02845528455284553</v>
      </c>
    </row>
    <row r="92" ht="20" customHeight="1">
      <c r="A92" s="1" t="n"/>
      <c r="B92" s="109" t="n">
        <v>87</v>
      </c>
      <c r="C92" s="110" t="n">
        <v>49793</v>
      </c>
      <c r="D92" s="110" t="inlineStr">
        <is>
          <t>華星光三</t>
        </is>
      </c>
      <c r="E92" s="111" t="n">
        <v>391</v>
      </c>
      <c r="F92" s="111" t="n">
        <v>402</v>
      </c>
      <c r="G92" s="111" t="n">
        <v>11</v>
      </c>
      <c r="H92" s="179" t="n">
        <v>0.02813299232736573</v>
      </c>
    </row>
    <row r="93" ht="20" customHeight="1">
      <c r="A93" s="1" t="n"/>
      <c r="B93" s="114" t="n">
        <v>88</v>
      </c>
      <c r="C93" s="115" t="n">
        <v>81473</v>
      </c>
      <c r="D93" s="115" t="inlineStr">
        <is>
          <t>正淩三</t>
        </is>
      </c>
      <c r="E93" s="116" t="n">
        <v>148</v>
      </c>
      <c r="F93" s="116" t="n">
        <v>152</v>
      </c>
      <c r="G93" s="116" t="n">
        <v>4</v>
      </c>
      <c r="H93" s="181" t="n">
        <v>0.02702702702702703</v>
      </c>
    </row>
    <row r="94" ht="20" customHeight="1">
      <c r="A94" s="1" t="n"/>
      <c r="B94" s="109" t="n">
        <v>89</v>
      </c>
      <c r="C94" s="110" t="n">
        <v>80212</v>
      </c>
      <c r="D94" s="110" t="inlineStr">
        <is>
          <t>尖點二</t>
        </is>
      </c>
      <c r="E94" s="111" t="n">
        <v>238</v>
      </c>
      <c r="F94" s="111" t="n">
        <v>244</v>
      </c>
      <c r="G94" s="111" t="n">
        <v>6</v>
      </c>
      <c r="H94" s="179" t="n">
        <v>0.02521008403361345</v>
      </c>
    </row>
    <row r="95" ht="20" customHeight="1">
      <c r="A95" s="1" t="n"/>
      <c r="B95" s="114" t="n">
        <v>90</v>
      </c>
      <c r="C95" s="115" t="n">
        <v>66721</v>
      </c>
      <c r="D95" s="115" t="inlineStr">
        <is>
          <t>騰輝一KY</t>
        </is>
      </c>
      <c r="E95" s="116" t="n">
        <v>244</v>
      </c>
      <c r="F95" s="116" t="n">
        <v>250</v>
      </c>
      <c r="G95" s="116" t="n">
        <v>6</v>
      </c>
      <c r="H95" s="181" t="n">
        <v>0.02459016393442623</v>
      </c>
    </row>
    <row r="96" ht="20" customHeight="1">
      <c r="A96" s="1" t="n"/>
      <c r="B96" s="109" t="n">
        <v>91</v>
      </c>
      <c r="C96" s="110" t="n">
        <v>35513</v>
      </c>
      <c r="D96" s="110" t="inlineStr">
        <is>
          <t>世禾三</t>
        </is>
      </c>
      <c r="E96" s="111" t="n">
        <v>144</v>
      </c>
      <c r="F96" s="111" t="n">
        <v>147</v>
      </c>
      <c r="G96" s="111" t="n">
        <v>3</v>
      </c>
      <c r="H96" s="179" t="n">
        <v>0.02083333333333333</v>
      </c>
    </row>
    <row r="97" ht="20" customHeight="1">
      <c r="A97" s="1" t="n"/>
      <c r="B97" s="114" t="n">
        <v>92</v>
      </c>
      <c r="C97" s="115" t="n">
        <v>24361</v>
      </c>
      <c r="D97" s="115" t="inlineStr">
        <is>
          <t>偉詮電一</t>
        </is>
      </c>
      <c r="E97" s="116" t="n">
        <v>149</v>
      </c>
      <c r="F97" s="116" t="n">
        <v>152</v>
      </c>
      <c r="G97" s="116" t="n">
        <v>3</v>
      </c>
      <c r="H97" s="181" t="n">
        <v>0.02013422818791946</v>
      </c>
    </row>
    <row r="98" ht="20" customHeight="1">
      <c r="A98" s="1" t="n"/>
      <c r="B98" s="109" t="n">
        <v>93</v>
      </c>
      <c r="C98" s="110" t="n">
        <v>64145</v>
      </c>
      <c r="D98" s="110" t="inlineStr">
        <is>
          <t>樺漢五</t>
        </is>
      </c>
      <c r="E98" s="111" t="n">
        <v>130</v>
      </c>
      <c r="F98" s="111" t="n">
        <v>132.5</v>
      </c>
      <c r="G98" s="111" t="n">
        <v>2.5</v>
      </c>
      <c r="H98" s="179" t="n">
        <v>0.01923076923076923</v>
      </c>
    </row>
    <row r="99" ht="20" customHeight="1">
      <c r="A99" s="1" t="n"/>
      <c r="B99" s="114" t="n">
        <v>94</v>
      </c>
      <c r="C99" s="115" t="n">
        <v>30455</v>
      </c>
      <c r="D99" s="115" t="inlineStr">
        <is>
          <t>台灣大五</t>
        </is>
      </c>
      <c r="E99" s="116" t="n">
        <v>104.6</v>
      </c>
      <c r="F99" s="116" t="n">
        <v>106.5</v>
      </c>
      <c r="G99" s="116" t="n">
        <v>1.900000000000006</v>
      </c>
      <c r="H99" s="181" t="n">
        <v>0.01816443594646277</v>
      </c>
    </row>
    <row r="100" ht="20" customHeight="1">
      <c r="A100" s="1" t="n"/>
      <c r="B100" s="109" t="n">
        <v>95</v>
      </c>
      <c r="C100" s="110" t="n">
        <v>30882</v>
      </c>
      <c r="D100" s="110" t="inlineStr">
        <is>
          <t>艾訊二</t>
        </is>
      </c>
      <c r="E100" s="111" t="n">
        <v>167</v>
      </c>
      <c r="F100" s="111" t="n">
        <v>170</v>
      </c>
      <c r="G100" s="111" t="n">
        <v>3</v>
      </c>
      <c r="H100" s="179" t="n">
        <v>0.01796407185628742</v>
      </c>
    </row>
    <row r="101" ht="20" customHeight="1">
      <c r="A101" s="1" t="n"/>
      <c r="B101" s="114" t="n">
        <v>96</v>
      </c>
      <c r="C101" s="115" t="n">
        <v>89964</v>
      </c>
      <c r="D101" s="115" t="inlineStr">
        <is>
          <t>高力四</t>
        </is>
      </c>
      <c r="E101" s="116" t="n">
        <v>501</v>
      </c>
      <c r="F101" s="116" t="n">
        <v>510</v>
      </c>
      <c r="G101" s="116" t="n">
        <v>9</v>
      </c>
      <c r="H101" s="181" t="n">
        <v>0.01796407185628742</v>
      </c>
    </row>
    <row r="102" ht="20" customHeight="1">
      <c r="A102" s="1" t="n"/>
      <c r="B102" s="109" t="n">
        <v>97</v>
      </c>
      <c r="C102" s="110" t="n">
        <v>68702</v>
      </c>
      <c r="D102" s="110" t="inlineStr">
        <is>
          <t>騰雲二</t>
        </is>
      </c>
      <c r="E102" s="111" t="n">
        <v>118.5</v>
      </c>
      <c r="F102" s="111" t="n">
        <v>120</v>
      </c>
      <c r="G102" s="111" t="n">
        <v>1.5</v>
      </c>
      <c r="H102" s="179" t="n">
        <v>0.01265822784810127</v>
      </c>
    </row>
    <row r="103" ht="20" customHeight="1">
      <c r="A103" s="1" t="n"/>
      <c r="B103" s="114" t="n">
        <v>98</v>
      </c>
      <c r="C103" s="115" t="n">
        <v>66642</v>
      </c>
      <c r="D103" s="115" t="inlineStr">
        <is>
          <t>群翊二</t>
        </is>
      </c>
      <c r="E103" s="116" t="n">
        <v>167</v>
      </c>
      <c r="F103" s="116" t="n">
        <v>168</v>
      </c>
      <c r="G103" s="116" t="n">
        <v>1</v>
      </c>
      <c r="H103" s="181" t="n">
        <v>0.005988023952095809</v>
      </c>
    </row>
    <row r="104" ht="20" customHeight="1">
      <c r="A104" s="1" t="n"/>
      <c r="B104" s="109" t="n">
        <v>99</v>
      </c>
      <c r="C104" s="110" t="n">
        <v>14723</v>
      </c>
      <c r="D104" s="110" t="inlineStr">
        <is>
          <t>三洋實業三</t>
        </is>
      </c>
      <c r="E104" s="111" t="n">
        <v>99.45</v>
      </c>
      <c r="F104" s="111" t="n">
        <v>100</v>
      </c>
      <c r="G104" s="111" t="n">
        <v>0.5499999999999972</v>
      </c>
      <c r="H104" s="179" t="n">
        <v>0.005530417295123149</v>
      </c>
    </row>
    <row r="105" ht="20" customHeight="1">
      <c r="A105" s="1" t="n"/>
      <c r="B105" s="114" t="n">
        <v>100</v>
      </c>
      <c r="C105" s="115" t="n">
        <v>25483</v>
      </c>
      <c r="D105" s="115" t="inlineStr">
        <is>
          <t>華固三</t>
        </is>
      </c>
      <c r="E105" s="116" t="n">
        <v>108.45</v>
      </c>
      <c r="F105" s="116" t="n">
        <v>108.95</v>
      </c>
      <c r="G105" s="116" t="n">
        <v>0.5</v>
      </c>
      <c r="H105" s="181" t="n">
        <v>0.004610419548178884</v>
      </c>
    </row>
    <row r="106" ht="20" customHeight="1">
      <c r="A106" s="1" t="n"/>
      <c r="B106" s="109" t="n">
        <v>101</v>
      </c>
      <c r="C106" s="110" t="n">
        <v>36173</v>
      </c>
      <c r="D106" s="110" t="inlineStr">
        <is>
          <t>碩天三</t>
        </is>
      </c>
      <c r="E106" s="111" t="n">
        <v>115.5</v>
      </c>
      <c r="F106" s="111" t="n">
        <v>116</v>
      </c>
      <c r="G106" s="111" t="n">
        <v>0.5</v>
      </c>
      <c r="H106" s="179" t="n">
        <v>0.004329004329004329</v>
      </c>
    </row>
    <row r="107" ht="20" customHeight="1">
      <c r="A107" s="1" t="n"/>
      <c r="B107" s="114" t="n">
        <v>102</v>
      </c>
      <c r="C107" s="115" t="n">
        <v>53097</v>
      </c>
      <c r="D107" s="115" t="inlineStr">
        <is>
          <t>系統電七</t>
        </is>
      </c>
      <c r="E107" s="116" t="n">
        <v>129.5</v>
      </c>
      <c r="F107" s="116" t="n">
        <v>130</v>
      </c>
      <c r="G107" s="116" t="n">
        <v>0.5</v>
      </c>
      <c r="H107" s="181" t="n">
        <v>0.003861003861003861</v>
      </c>
    </row>
    <row r="108" ht="20" customHeight="1">
      <c r="A108" s="1" t="n"/>
      <c r="B108" s="109" t="n">
        <v>103</v>
      </c>
      <c r="C108" s="110" t="n">
        <v>68701</v>
      </c>
      <c r="D108" s="110" t="inlineStr">
        <is>
          <t>騰雲一</t>
        </is>
      </c>
      <c r="E108" s="111" t="n">
        <v>113.7</v>
      </c>
      <c r="F108" s="111" t="n">
        <v>114</v>
      </c>
      <c r="G108" s="111" t="n">
        <v>0.2999999999999972</v>
      </c>
      <c r="H108" s="179" t="n">
        <v>0.002638522427440608</v>
      </c>
    </row>
    <row r="109" ht="20" customHeight="1">
      <c r="A109" s="1" t="n"/>
      <c r="B109" s="114" t="n">
        <v>104</v>
      </c>
      <c r="C109" s="115" t="n">
        <v>64725</v>
      </c>
      <c r="D109" s="115" t="inlineStr">
        <is>
          <t>保瑞五</t>
        </is>
      </c>
      <c r="E109" s="116" t="n">
        <v>107.8</v>
      </c>
      <c r="F109" s="116" t="n">
        <v>108</v>
      </c>
      <c r="G109" s="116" t="n">
        <v>0.2000000000000028</v>
      </c>
      <c r="H109" s="181" t="n">
        <v>0.00185528756957331</v>
      </c>
    </row>
    <row r="110" ht="20" customHeight="1">
      <c r="A110" s="1" t="n"/>
      <c r="B110" s="182" t="n">
        <v>105</v>
      </c>
      <c r="C110" s="183" t="n">
        <v>61011</v>
      </c>
      <c r="D110" s="183" t="inlineStr">
        <is>
          <t>寬魚國際一</t>
        </is>
      </c>
      <c r="E110" s="184" t="n">
        <v>118</v>
      </c>
      <c r="F110" s="184" t="n">
        <v>118.1</v>
      </c>
      <c r="G110" s="184" t="n">
        <v>0.09999999999999432</v>
      </c>
      <c r="H110" s="185" t="n">
        <v>0.0008474576271185959</v>
      </c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n"/>
      <c r="B112" s="139" t="inlineStr">
        <is>
          <t>📊 平均</t>
        </is>
      </c>
      <c r="C112" s="152" t="n"/>
      <c r="D112" s="153" t="n"/>
      <c r="E112" s="141">
        <f>IFERROR(AVERAGE(E6:E110),"")</f>
        <v/>
      </c>
      <c r="F112" s="141">
        <f>IFERROR(AVERAGE(F6:F110),"")</f>
        <v/>
      </c>
      <c r="G112" s="141">
        <f>IFERROR(AVERAGE(G6:G110),"")</f>
        <v/>
      </c>
      <c r="H112" s="187">
        <f>IFERROR(AVERAGE(H6:H110),"")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112:D112"/>
    <mergeCell ref="B2:H2"/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6" customWidth="1" min="4" max="4"/>
    <col width="12" customWidth="1" min="5" max="5"/>
    <col width="12" customWidth="1" min="6" max="6"/>
    <col width="11" customWidth="1" min="7" max="7"/>
    <col width="1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17" t="inlineStr">
        <is>
          <t>🟢 創新低  (45 檔)  |  115年5月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4" t="inlineStr">
        <is>
          <t>相較上月(4月30日),依漲跌幅排序  |  排除本月新掛牌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6" customHeight="1">
      <c r="A5" s="1" t="n"/>
      <c r="B5" s="106" t="inlineStr">
        <is>
          <t>序</t>
        </is>
      </c>
      <c r="C5" s="107" t="inlineStr">
        <is>
          <t>CB代號</t>
        </is>
      </c>
      <c r="D5" s="107" t="inlineStr">
        <is>
          <t>CB名稱</t>
        </is>
      </c>
      <c r="E5" s="107" t="inlineStr">
        <is>
          <t>上月最低</t>
        </is>
      </c>
      <c r="F5" s="107" t="inlineStr">
        <is>
          <t>本月最低</t>
        </is>
      </c>
      <c r="G5" s="107" t="inlineStr">
        <is>
          <t>減少(元)</t>
        </is>
      </c>
      <c r="H5" s="108" t="inlineStr">
        <is>
          <t>跌幅%</t>
        </is>
      </c>
    </row>
    <row r="6" ht="20" customHeight="1">
      <c r="A6" s="1" t="n"/>
      <c r="B6" s="109" t="n">
        <v>1</v>
      </c>
      <c r="C6" s="110" t="n">
        <v>84762</v>
      </c>
      <c r="D6" s="110" t="inlineStr">
        <is>
          <t>台境二</t>
        </is>
      </c>
      <c r="E6" s="111" t="n">
        <v>102</v>
      </c>
      <c r="F6" s="190" t="n">
        <v>88</v>
      </c>
      <c r="G6" s="111" t="n">
        <v>-14</v>
      </c>
      <c r="H6" s="179" t="n">
        <v>-0.1372549019607843</v>
      </c>
    </row>
    <row r="7" ht="20" customHeight="1">
      <c r="A7" s="1" t="n"/>
      <c r="B7" s="114" t="n">
        <v>2</v>
      </c>
      <c r="C7" s="115" t="n">
        <v>64725</v>
      </c>
      <c r="D7" s="115" t="inlineStr">
        <is>
          <t>保瑞五</t>
        </is>
      </c>
      <c r="E7" s="116" t="n">
        <v>104.5</v>
      </c>
      <c r="F7" s="191" t="n">
        <v>92</v>
      </c>
      <c r="G7" s="116" t="n">
        <v>-12.5</v>
      </c>
      <c r="H7" s="181" t="n">
        <v>-0.1196172248803828</v>
      </c>
    </row>
    <row r="8" ht="20" customHeight="1">
      <c r="A8" s="1" t="n"/>
      <c r="B8" s="109" t="n">
        <v>3</v>
      </c>
      <c r="C8" s="110" t="n">
        <v>64724</v>
      </c>
      <c r="D8" s="110" t="inlineStr">
        <is>
          <t>保瑞四</t>
        </is>
      </c>
      <c r="E8" s="111" t="n">
        <v>102.25</v>
      </c>
      <c r="F8" s="190" t="n">
        <v>90.8</v>
      </c>
      <c r="G8" s="111" t="n">
        <v>-11.45</v>
      </c>
      <c r="H8" s="179" t="n">
        <v>-0.1119804400977995</v>
      </c>
    </row>
    <row r="9" ht="20" customHeight="1">
      <c r="A9" s="1" t="n"/>
      <c r="B9" s="114" t="n">
        <v>4</v>
      </c>
      <c r="C9" s="115" t="n">
        <v>35642</v>
      </c>
      <c r="D9" s="115" t="inlineStr">
        <is>
          <t>其陽二</t>
        </is>
      </c>
      <c r="E9" s="116" t="n">
        <v>95</v>
      </c>
      <c r="F9" s="191" t="n">
        <v>89.09999999999999</v>
      </c>
      <c r="G9" s="116" t="n">
        <v>-5.900000000000006</v>
      </c>
      <c r="H9" s="181" t="n">
        <v>-0.0621052631578948</v>
      </c>
    </row>
    <row r="10" ht="20" customHeight="1">
      <c r="A10" s="1" t="n"/>
      <c r="B10" s="109" t="n">
        <v>5</v>
      </c>
      <c r="C10" s="110" t="n">
        <v>68901</v>
      </c>
      <c r="D10" s="110" t="inlineStr">
        <is>
          <t>來億一KY</t>
        </is>
      </c>
      <c r="E10" s="111" t="n">
        <v>92.75</v>
      </c>
      <c r="F10" s="190" t="n">
        <v>87.09999999999999</v>
      </c>
      <c r="G10" s="111" t="n">
        <v>-5.650000000000006</v>
      </c>
      <c r="H10" s="179" t="n">
        <v>-0.06091644204851758</v>
      </c>
    </row>
    <row r="11" ht="20" customHeight="1">
      <c r="A11" s="1" t="n"/>
      <c r="B11" s="114" t="n">
        <v>6</v>
      </c>
      <c r="C11" s="115" t="n">
        <v>68902</v>
      </c>
      <c r="D11" s="115" t="inlineStr">
        <is>
          <t>來億二KY</t>
        </is>
      </c>
      <c r="E11" s="116" t="n">
        <v>90.8</v>
      </c>
      <c r="F11" s="191" t="n">
        <v>86</v>
      </c>
      <c r="G11" s="116" t="n">
        <v>-4.799999999999997</v>
      </c>
      <c r="H11" s="181" t="n">
        <v>-0.05286343612334799</v>
      </c>
    </row>
    <row r="12" ht="20" customHeight="1">
      <c r="A12" s="1" t="n"/>
      <c r="B12" s="109" t="n">
        <v>7</v>
      </c>
      <c r="C12" s="110" t="n">
        <v>41136</v>
      </c>
      <c r="D12" s="110" t="inlineStr">
        <is>
          <t>聯上六</t>
        </is>
      </c>
      <c r="E12" s="111" t="n">
        <v>89.05</v>
      </c>
      <c r="F12" s="111" t="n">
        <v>85.5</v>
      </c>
      <c r="G12" s="111" t="n">
        <v>-3.549999999999997</v>
      </c>
      <c r="H12" s="179" t="n">
        <v>-0.03986524424480626</v>
      </c>
    </row>
    <row r="13" ht="20" customHeight="1">
      <c r="A13" s="1" t="n"/>
      <c r="B13" s="114" t="n">
        <v>8</v>
      </c>
      <c r="C13" s="115" t="n">
        <v>37152</v>
      </c>
      <c r="D13" s="115" t="inlineStr">
        <is>
          <t>定穎投控二</t>
        </is>
      </c>
      <c r="E13" s="116" t="n">
        <v>130.15</v>
      </c>
      <c r="F13" s="116" t="n">
        <v>126</v>
      </c>
      <c r="G13" s="116" t="n">
        <v>-4.150000000000006</v>
      </c>
      <c r="H13" s="181" t="n">
        <v>-0.031886285055705</v>
      </c>
    </row>
    <row r="14" ht="20" customHeight="1">
      <c r="A14" s="1" t="n"/>
      <c r="B14" s="109" t="n">
        <v>9</v>
      </c>
      <c r="C14" s="110" t="n">
        <v>27324</v>
      </c>
      <c r="D14" s="110" t="inlineStr">
        <is>
          <t>六角四</t>
        </is>
      </c>
      <c r="E14" s="111" t="n">
        <v>103.1</v>
      </c>
      <c r="F14" s="111" t="n">
        <v>100</v>
      </c>
      <c r="G14" s="111" t="n">
        <v>-3.099999999999994</v>
      </c>
      <c r="H14" s="179" t="n">
        <v>-0.03006789524733263</v>
      </c>
    </row>
    <row r="15" ht="20" customHeight="1">
      <c r="A15" s="1" t="n"/>
      <c r="B15" s="114" t="n">
        <v>10</v>
      </c>
      <c r="C15" s="115" t="n">
        <v>68061</v>
      </c>
      <c r="D15" s="115" t="inlineStr">
        <is>
          <t>森崴能源一</t>
        </is>
      </c>
      <c r="E15" s="116" t="n">
        <v>96.7</v>
      </c>
      <c r="F15" s="116" t="n">
        <v>94</v>
      </c>
      <c r="G15" s="116" t="n">
        <v>-2.700000000000003</v>
      </c>
      <c r="H15" s="181" t="n">
        <v>-0.02792140641158224</v>
      </c>
    </row>
    <row r="16" ht="20" customHeight="1">
      <c r="A16" s="1" t="n"/>
      <c r="B16" s="109" t="n">
        <v>11</v>
      </c>
      <c r="C16" s="110" t="n">
        <v>67962</v>
      </c>
      <c r="D16" s="110" t="inlineStr">
        <is>
          <t>晉弘二</t>
        </is>
      </c>
      <c r="E16" s="111" t="n">
        <v>90.55</v>
      </c>
      <c r="F16" s="111" t="n">
        <v>88.09999999999999</v>
      </c>
      <c r="G16" s="111" t="n">
        <v>-2.450000000000003</v>
      </c>
      <c r="H16" s="179" t="n">
        <v>-0.02705687465488683</v>
      </c>
    </row>
    <row r="17" ht="20" customHeight="1">
      <c r="A17" s="1" t="n"/>
      <c r="B17" s="114" t="n">
        <v>12</v>
      </c>
      <c r="C17" s="115" t="n">
        <v>69821</v>
      </c>
      <c r="D17" s="115" t="inlineStr">
        <is>
          <t>大井泵浦一</t>
        </is>
      </c>
      <c r="E17" s="116" t="n">
        <v>94</v>
      </c>
      <c r="F17" s="116" t="n">
        <v>92</v>
      </c>
      <c r="G17" s="116" t="n">
        <v>-2</v>
      </c>
      <c r="H17" s="181" t="n">
        <v>-0.02127659574468085</v>
      </c>
    </row>
    <row r="18" ht="20" customHeight="1">
      <c r="A18" s="1" t="n"/>
      <c r="B18" s="109" t="n">
        <v>13</v>
      </c>
      <c r="C18" s="110" t="n">
        <v>14743</v>
      </c>
      <c r="D18" s="110" t="inlineStr">
        <is>
          <t>弘裕三</t>
        </is>
      </c>
      <c r="E18" s="111" t="n">
        <v>89.5</v>
      </c>
      <c r="F18" s="111" t="n">
        <v>87.59999999999999</v>
      </c>
      <c r="G18" s="111" t="n">
        <v>-1.900000000000006</v>
      </c>
      <c r="H18" s="179" t="n">
        <v>-0.02122905027932967</v>
      </c>
    </row>
    <row r="19" ht="20" customHeight="1">
      <c r="A19" s="1" t="n"/>
      <c r="B19" s="114" t="n">
        <v>14</v>
      </c>
      <c r="C19" s="115" t="n">
        <v>45721</v>
      </c>
      <c r="D19" s="115" t="inlineStr">
        <is>
          <t>駐龍一</t>
        </is>
      </c>
      <c r="E19" s="116" t="n">
        <v>103.05</v>
      </c>
      <c r="F19" s="116" t="n">
        <v>100.95</v>
      </c>
      <c r="G19" s="116" t="n">
        <v>-2.099999999999994</v>
      </c>
      <c r="H19" s="181" t="n">
        <v>-0.02037845705967971</v>
      </c>
    </row>
    <row r="20" ht="20" customHeight="1">
      <c r="A20" s="1" t="n"/>
      <c r="B20" s="109" t="n">
        <v>15</v>
      </c>
      <c r="C20" s="110" t="n">
        <v>41645</v>
      </c>
      <c r="D20" s="110" t="inlineStr">
        <is>
          <t>承業醫五</t>
        </is>
      </c>
      <c r="E20" s="111" t="n">
        <v>102</v>
      </c>
      <c r="F20" s="111" t="n">
        <v>100</v>
      </c>
      <c r="G20" s="111" t="n">
        <v>-2</v>
      </c>
      <c r="H20" s="179" t="n">
        <v>-0.0196078431372549</v>
      </c>
    </row>
    <row r="21" ht="20" customHeight="1">
      <c r="A21" s="1" t="n"/>
      <c r="B21" s="114" t="n">
        <v>16</v>
      </c>
      <c r="C21" s="115" t="n">
        <v>26418</v>
      </c>
      <c r="D21" s="115" t="inlineStr">
        <is>
          <t>正德八</t>
        </is>
      </c>
      <c r="E21" s="116" t="n">
        <v>100</v>
      </c>
      <c r="F21" s="116" t="n">
        <v>98.05</v>
      </c>
      <c r="G21" s="116" t="n">
        <v>-1.950000000000003</v>
      </c>
      <c r="H21" s="181" t="n">
        <v>-0.01950000000000003</v>
      </c>
    </row>
    <row r="22" ht="20" customHeight="1">
      <c r="A22" s="1" t="n"/>
      <c r="B22" s="109" t="n">
        <v>17</v>
      </c>
      <c r="C22" s="110" t="n">
        <v>64774</v>
      </c>
      <c r="D22" s="110" t="inlineStr">
        <is>
          <t>安集四</t>
        </is>
      </c>
      <c r="E22" s="111" t="n">
        <v>94</v>
      </c>
      <c r="F22" s="111" t="n">
        <v>92.2</v>
      </c>
      <c r="G22" s="111" t="n">
        <v>-1.799999999999997</v>
      </c>
      <c r="H22" s="179" t="n">
        <v>-0.01914893617021273</v>
      </c>
    </row>
    <row r="23" ht="20" customHeight="1">
      <c r="A23" s="1" t="n"/>
      <c r="B23" s="114" t="n">
        <v>18</v>
      </c>
      <c r="C23" s="115" t="n">
        <v>35431</v>
      </c>
      <c r="D23" s="115" t="inlineStr">
        <is>
          <t>州巧一</t>
        </is>
      </c>
      <c r="E23" s="116" t="n">
        <v>116</v>
      </c>
      <c r="F23" s="116" t="n">
        <v>113.8</v>
      </c>
      <c r="G23" s="116" t="n">
        <v>-2.200000000000003</v>
      </c>
      <c r="H23" s="181" t="n">
        <v>-0.01896551724137933</v>
      </c>
    </row>
    <row r="24" ht="20" customHeight="1">
      <c r="A24" s="1" t="n"/>
      <c r="B24" s="109" t="n">
        <v>19</v>
      </c>
      <c r="C24" s="110" t="n">
        <v>35221</v>
      </c>
      <c r="D24" s="110" t="inlineStr">
        <is>
          <t>御嵿一</t>
        </is>
      </c>
      <c r="E24" s="111" t="n">
        <v>102.1</v>
      </c>
      <c r="F24" s="111" t="n">
        <v>100.25</v>
      </c>
      <c r="G24" s="111" t="n">
        <v>-1.849999999999994</v>
      </c>
      <c r="H24" s="179" t="n">
        <v>-0.01811949069539661</v>
      </c>
    </row>
    <row r="25" ht="20" customHeight="1">
      <c r="A25" s="1" t="n"/>
      <c r="B25" s="114" t="n">
        <v>20</v>
      </c>
      <c r="C25" s="115" t="n">
        <v>98026</v>
      </c>
      <c r="D25" s="115" t="inlineStr">
        <is>
          <t>鈺齊六KY</t>
        </is>
      </c>
      <c r="E25" s="116" t="n">
        <v>102.8</v>
      </c>
      <c r="F25" s="116" t="n">
        <v>101.05</v>
      </c>
      <c r="G25" s="116" t="n">
        <v>-1.75</v>
      </c>
      <c r="H25" s="181" t="n">
        <v>-0.01702334630350195</v>
      </c>
    </row>
    <row r="26" ht="20" customHeight="1">
      <c r="A26" s="1" t="n"/>
      <c r="B26" s="109" t="n">
        <v>21</v>
      </c>
      <c r="C26" s="110" t="n">
        <v>36872</v>
      </c>
      <c r="D26" s="110" t="inlineStr">
        <is>
          <t>歐買尬二</t>
        </is>
      </c>
      <c r="E26" s="111" t="n">
        <v>95.65000000000001</v>
      </c>
      <c r="F26" s="111" t="n">
        <v>94.05</v>
      </c>
      <c r="G26" s="111" t="n">
        <v>-1.600000000000009</v>
      </c>
      <c r="H26" s="179" t="n">
        <v>-0.01672765290120239</v>
      </c>
    </row>
    <row r="27" ht="20" customHeight="1">
      <c r="A27" s="1" t="n"/>
      <c r="B27" s="114" t="n">
        <v>22</v>
      </c>
      <c r="C27" s="115" t="n">
        <v>47471</v>
      </c>
      <c r="D27" s="115" t="inlineStr">
        <is>
          <t>強生一</t>
        </is>
      </c>
      <c r="E27" s="116" t="n">
        <v>100.85</v>
      </c>
      <c r="F27" s="116" t="n">
        <v>99.2</v>
      </c>
      <c r="G27" s="116" t="n">
        <v>-1.649999999999991</v>
      </c>
      <c r="H27" s="181" t="n">
        <v>-0.01636093207734251</v>
      </c>
    </row>
    <row r="28" ht="20" customHeight="1">
      <c r="A28" s="1" t="n"/>
      <c r="B28" s="109" t="n">
        <v>23</v>
      </c>
      <c r="C28" s="110" t="n">
        <v>69571</v>
      </c>
      <c r="D28" s="110" t="inlineStr">
        <is>
          <t>裕慶一KY</t>
        </is>
      </c>
      <c r="E28" s="111" t="n">
        <v>100.3</v>
      </c>
      <c r="F28" s="111" t="n">
        <v>98.7</v>
      </c>
      <c r="G28" s="111" t="n">
        <v>-1.599999999999994</v>
      </c>
      <c r="H28" s="179" t="n">
        <v>-0.01595214356929207</v>
      </c>
    </row>
    <row r="29" ht="20" customHeight="1">
      <c r="A29" s="1" t="n"/>
      <c r="B29" s="114" t="n">
        <v>24</v>
      </c>
      <c r="C29" s="115" t="n">
        <v>67711</v>
      </c>
      <c r="D29" s="115" t="inlineStr">
        <is>
          <t>平和環保一創</t>
        </is>
      </c>
      <c r="E29" s="116" t="n">
        <v>103.25</v>
      </c>
      <c r="F29" s="116" t="n">
        <v>102.1</v>
      </c>
      <c r="G29" s="116" t="n">
        <v>-1.150000000000006</v>
      </c>
      <c r="H29" s="181" t="n">
        <v>-0.01113801452784509</v>
      </c>
    </row>
    <row r="30" ht="20" customHeight="1">
      <c r="A30" s="1" t="n"/>
      <c r="B30" s="109" t="n">
        <v>25</v>
      </c>
      <c r="C30" s="110" t="n">
        <v>84312</v>
      </c>
      <c r="D30" s="110" t="inlineStr">
        <is>
          <t>匯鑽科二</t>
        </is>
      </c>
      <c r="E30" s="111" t="n">
        <v>99.05</v>
      </c>
      <c r="F30" s="111" t="n">
        <v>98</v>
      </c>
      <c r="G30" s="111" t="n">
        <v>-1.049999999999997</v>
      </c>
      <c r="H30" s="179" t="n">
        <v>-0.01060070671378089</v>
      </c>
    </row>
    <row r="31" ht="20" customHeight="1">
      <c r="A31" s="1" t="n"/>
      <c r="B31" s="114" t="n">
        <v>26</v>
      </c>
      <c r="C31" s="115" t="n">
        <v>25283</v>
      </c>
      <c r="D31" s="115" t="inlineStr">
        <is>
          <t>皇普三</t>
        </is>
      </c>
      <c r="E31" s="116" t="n">
        <v>103</v>
      </c>
      <c r="F31" s="116" t="n">
        <v>102</v>
      </c>
      <c r="G31" s="116" t="n">
        <v>-1</v>
      </c>
      <c r="H31" s="181" t="n">
        <v>-0.009708737864077669</v>
      </c>
    </row>
    <row r="32" ht="20" customHeight="1">
      <c r="A32" s="1" t="n"/>
      <c r="B32" s="109" t="n">
        <v>27</v>
      </c>
      <c r="C32" s="110" t="n">
        <v>64693</v>
      </c>
      <c r="D32" s="110" t="inlineStr">
        <is>
          <t>大樹三</t>
        </is>
      </c>
      <c r="E32" s="111" t="n">
        <v>99.5</v>
      </c>
      <c r="F32" s="111" t="n">
        <v>98.55</v>
      </c>
      <c r="G32" s="111" t="n">
        <v>-0.9500000000000028</v>
      </c>
      <c r="H32" s="179" t="n">
        <v>-0.009547738693467365</v>
      </c>
    </row>
    <row r="33" ht="20" customHeight="1">
      <c r="A33" s="1" t="n"/>
      <c r="B33" s="114" t="n">
        <v>28</v>
      </c>
      <c r="C33" s="115" t="n">
        <v>45581</v>
      </c>
      <c r="D33" s="115" t="inlineStr">
        <is>
          <t>寶緯一</t>
        </is>
      </c>
      <c r="E33" s="116" t="n">
        <v>100</v>
      </c>
      <c r="F33" s="116" t="n">
        <v>99.05</v>
      </c>
      <c r="G33" s="116" t="n">
        <v>-0.9500000000000028</v>
      </c>
      <c r="H33" s="181" t="n">
        <v>-0.009500000000000029</v>
      </c>
    </row>
    <row r="34" ht="20" customHeight="1">
      <c r="A34" s="1" t="n"/>
      <c r="B34" s="109" t="n">
        <v>29</v>
      </c>
      <c r="C34" s="110" t="n">
        <v>27532</v>
      </c>
      <c r="D34" s="110" t="inlineStr">
        <is>
          <t>八方雲集二</t>
        </is>
      </c>
      <c r="E34" s="111" t="n">
        <v>106.5</v>
      </c>
      <c r="F34" s="111" t="n">
        <v>105.5</v>
      </c>
      <c r="G34" s="111" t="n">
        <v>-1</v>
      </c>
      <c r="H34" s="179" t="n">
        <v>-0.009389671361502348</v>
      </c>
    </row>
    <row r="35" ht="20" customHeight="1">
      <c r="A35" s="1" t="n"/>
      <c r="B35" s="114" t="n">
        <v>30</v>
      </c>
      <c r="C35" s="115" t="n">
        <v>27431</v>
      </c>
      <c r="D35" s="115" t="inlineStr">
        <is>
          <t>山富一</t>
        </is>
      </c>
      <c r="E35" s="116" t="n">
        <v>101.05</v>
      </c>
      <c r="F35" s="116" t="n">
        <v>100.15</v>
      </c>
      <c r="G35" s="116" t="n">
        <v>-0.8999999999999915</v>
      </c>
      <c r="H35" s="181" t="n">
        <v>-0.008906481939633761</v>
      </c>
    </row>
    <row r="36" ht="20" customHeight="1">
      <c r="A36" s="1" t="n"/>
      <c r="B36" s="109" t="n">
        <v>31</v>
      </c>
      <c r="C36" s="110" t="n">
        <v>25284</v>
      </c>
      <c r="D36" s="110" t="inlineStr">
        <is>
          <t>皇普四</t>
        </is>
      </c>
      <c r="E36" s="111" t="n">
        <v>90.8</v>
      </c>
      <c r="F36" s="111" t="n">
        <v>90</v>
      </c>
      <c r="G36" s="111" t="n">
        <v>-0.7999999999999972</v>
      </c>
      <c r="H36" s="179" t="n">
        <v>-0.008810572687224639</v>
      </c>
    </row>
    <row r="37" ht="20" customHeight="1">
      <c r="A37" s="1" t="n"/>
      <c r="B37" s="114" t="n">
        <v>32</v>
      </c>
      <c r="C37" s="115" t="n">
        <v>61843</v>
      </c>
      <c r="D37" s="115" t="inlineStr">
        <is>
          <t>大豐電三</t>
        </is>
      </c>
      <c r="E37" s="116" t="n">
        <v>98</v>
      </c>
      <c r="F37" s="116" t="n">
        <v>97.25</v>
      </c>
      <c r="G37" s="116" t="n">
        <v>-0.75</v>
      </c>
      <c r="H37" s="181" t="n">
        <v>-0.007653061224489796</v>
      </c>
    </row>
    <row r="38" ht="20" customHeight="1">
      <c r="A38" s="1" t="n"/>
      <c r="B38" s="109" t="n">
        <v>33</v>
      </c>
      <c r="C38" s="110" t="n">
        <v>62194</v>
      </c>
      <c r="D38" s="110" t="inlineStr">
        <is>
          <t>富旺四</t>
        </is>
      </c>
      <c r="E38" s="111" t="n">
        <v>103.15</v>
      </c>
      <c r="F38" s="111" t="n">
        <v>102.5</v>
      </c>
      <c r="G38" s="111" t="n">
        <v>-0.6500000000000057</v>
      </c>
      <c r="H38" s="179" t="n">
        <v>-0.006301502666020414</v>
      </c>
    </row>
    <row r="39" ht="20" customHeight="1">
      <c r="A39" s="1" t="n"/>
      <c r="B39" s="114" t="n">
        <v>34</v>
      </c>
      <c r="C39" s="115" t="n">
        <v>32843</v>
      </c>
      <c r="D39" s="115" t="inlineStr">
        <is>
          <t>太普高三</t>
        </is>
      </c>
      <c r="E39" s="116" t="n">
        <v>92.05</v>
      </c>
      <c r="F39" s="116" t="n">
        <v>91.55</v>
      </c>
      <c r="G39" s="116" t="n">
        <v>-0.5</v>
      </c>
      <c r="H39" s="181" t="n">
        <v>-0.005431830526887562</v>
      </c>
    </row>
    <row r="40" ht="20" customHeight="1">
      <c r="A40" s="1" t="n"/>
      <c r="B40" s="109" t="n">
        <v>35</v>
      </c>
      <c r="C40" s="110" t="n">
        <v>65852</v>
      </c>
      <c r="D40" s="110" t="inlineStr">
        <is>
          <t>鼎基二</t>
        </is>
      </c>
      <c r="E40" s="111" t="n">
        <v>100.5</v>
      </c>
      <c r="F40" s="111" t="n">
        <v>100</v>
      </c>
      <c r="G40" s="111" t="n">
        <v>-0.5</v>
      </c>
      <c r="H40" s="179" t="n">
        <v>-0.004975124378109453</v>
      </c>
    </row>
    <row r="41" ht="20" customHeight="1">
      <c r="A41" s="1" t="n"/>
      <c r="B41" s="114" t="n">
        <v>36</v>
      </c>
      <c r="C41" s="115" t="n">
        <v>84422</v>
      </c>
      <c r="D41" s="115" t="inlineStr">
        <is>
          <t>威宏二KY</t>
        </is>
      </c>
      <c r="E41" s="116" t="n">
        <v>99.75</v>
      </c>
      <c r="F41" s="116" t="n">
        <v>99.3</v>
      </c>
      <c r="G41" s="116" t="n">
        <v>-0.4500000000000028</v>
      </c>
      <c r="H41" s="181" t="n">
        <v>-0.004511278195488751</v>
      </c>
    </row>
    <row r="42" ht="20" customHeight="1">
      <c r="A42" s="1" t="n"/>
      <c r="B42" s="109" t="n">
        <v>37</v>
      </c>
      <c r="C42" s="110" t="n">
        <v>22472</v>
      </c>
      <c r="D42" s="110" t="inlineStr">
        <is>
          <t>汎德二</t>
        </is>
      </c>
      <c r="E42" s="111" t="n">
        <v>100.5</v>
      </c>
      <c r="F42" s="111" t="n">
        <v>100.1</v>
      </c>
      <c r="G42" s="111" t="n">
        <v>-0.4000000000000057</v>
      </c>
      <c r="H42" s="179" t="n">
        <v>-0.003980099502487618</v>
      </c>
    </row>
    <row r="43" ht="20" customHeight="1">
      <c r="A43" s="1" t="n"/>
      <c r="B43" s="114" t="n">
        <v>38</v>
      </c>
      <c r="C43" s="115" t="n">
        <v>27531</v>
      </c>
      <c r="D43" s="115" t="inlineStr">
        <is>
          <t>八方雲集一</t>
        </is>
      </c>
      <c r="E43" s="116" t="n">
        <v>105.5</v>
      </c>
      <c r="F43" s="116" t="n">
        <v>105.1</v>
      </c>
      <c r="G43" s="116" t="n">
        <v>-0.4000000000000057</v>
      </c>
      <c r="H43" s="181" t="n">
        <v>-0.00379146919431285</v>
      </c>
    </row>
    <row r="44" ht="20" customHeight="1">
      <c r="A44" s="1" t="n"/>
      <c r="B44" s="109" t="n">
        <v>39</v>
      </c>
      <c r="C44" s="110" t="n">
        <v>74022</v>
      </c>
      <c r="D44" s="110" t="inlineStr">
        <is>
          <t>邑錡二</t>
        </is>
      </c>
      <c r="E44" s="111" t="n">
        <v>121</v>
      </c>
      <c r="F44" s="111" t="n">
        <v>120.7</v>
      </c>
      <c r="G44" s="111" t="n">
        <v>-0.2999999999999972</v>
      </c>
      <c r="H44" s="179" t="n">
        <v>-0.002479338842975183</v>
      </c>
    </row>
    <row r="45" ht="20" customHeight="1">
      <c r="A45" s="1" t="n"/>
      <c r="B45" s="114" t="n">
        <v>40</v>
      </c>
      <c r="C45" s="115" t="n">
        <v>65914</v>
      </c>
      <c r="D45" s="115" t="inlineStr">
        <is>
          <t>動力四KY</t>
        </is>
      </c>
      <c r="E45" s="116" t="n">
        <v>94.2</v>
      </c>
      <c r="F45" s="116" t="n">
        <v>94</v>
      </c>
      <c r="G45" s="116" t="n">
        <v>-0.2000000000000028</v>
      </c>
      <c r="H45" s="181" t="n">
        <v>-0.002123142250530816</v>
      </c>
    </row>
    <row r="46" ht="20" customHeight="1">
      <c r="A46" s="1" t="n"/>
      <c r="B46" s="109" t="n">
        <v>41</v>
      </c>
      <c r="C46" s="110" t="n">
        <v>26417</v>
      </c>
      <c r="D46" s="110" t="inlineStr">
        <is>
          <t>正德七</t>
        </is>
      </c>
      <c r="E46" s="111" t="n">
        <v>97.2</v>
      </c>
      <c r="F46" s="111" t="n">
        <v>97</v>
      </c>
      <c r="G46" s="111" t="n">
        <v>-0.2000000000000028</v>
      </c>
      <c r="H46" s="179" t="n">
        <v>-0.002057613168724309</v>
      </c>
    </row>
    <row r="47" ht="20" customHeight="1">
      <c r="A47" s="1" t="n"/>
      <c r="B47" s="114" t="n">
        <v>42</v>
      </c>
      <c r="C47" s="115" t="n">
        <v>84041</v>
      </c>
      <c r="D47" s="115" t="inlineStr">
        <is>
          <t>百和興業一KY</t>
        </is>
      </c>
      <c r="E47" s="116" t="n">
        <v>100.2</v>
      </c>
      <c r="F47" s="116" t="n">
        <v>100.1</v>
      </c>
      <c r="G47" s="116" t="n">
        <v>-0.1000000000000085</v>
      </c>
      <c r="H47" s="181" t="n">
        <v>-0.0009980039920160532</v>
      </c>
    </row>
    <row r="48" ht="20" customHeight="1">
      <c r="A48" s="1" t="n"/>
      <c r="B48" s="109" t="n">
        <v>43</v>
      </c>
      <c r="C48" s="110" t="n">
        <v>99588</v>
      </c>
      <c r="D48" s="110" t="inlineStr">
        <is>
          <t>世紀鋼八永</t>
        </is>
      </c>
      <c r="E48" s="111" t="n">
        <v>95.15000000000001</v>
      </c>
      <c r="F48" s="111" t="n">
        <v>95.09999999999999</v>
      </c>
      <c r="G48" s="111" t="n">
        <v>-0.05000000000001137</v>
      </c>
      <c r="H48" s="179" t="n">
        <v>-0.0005254860746191421</v>
      </c>
    </row>
    <row r="49" ht="20" customHeight="1">
      <c r="A49" s="1" t="n"/>
      <c r="B49" s="114" t="n">
        <v>44</v>
      </c>
      <c r="C49" s="115" t="n">
        <v>59055</v>
      </c>
      <c r="D49" s="115" t="inlineStr">
        <is>
          <t>南仁湖四</t>
        </is>
      </c>
      <c r="E49" s="116" t="n">
        <v>100</v>
      </c>
      <c r="F49" s="116" t="n">
        <v>99.95</v>
      </c>
      <c r="G49" s="116" t="n">
        <v>-0.04999999999999716</v>
      </c>
      <c r="H49" s="181" t="n">
        <v>-0.0004999999999999716</v>
      </c>
    </row>
    <row r="50" ht="20" customHeight="1">
      <c r="A50" s="1" t="n"/>
      <c r="B50" s="182" t="n">
        <v>45</v>
      </c>
      <c r="C50" s="183" t="n">
        <v>67681</v>
      </c>
      <c r="D50" s="183" t="inlineStr">
        <is>
          <t>志強一KY</t>
        </is>
      </c>
      <c r="E50" s="184" t="n">
        <v>101.05</v>
      </c>
      <c r="F50" s="184" t="n">
        <v>101</v>
      </c>
      <c r="G50" s="184" t="n">
        <v>-0.04999999999999716</v>
      </c>
      <c r="H50" s="185" t="n">
        <v>-0.0004948045522018521</v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39" t="inlineStr">
        <is>
          <t>📊 平均</t>
        </is>
      </c>
      <c r="C52" s="152" t="n"/>
      <c r="D52" s="153" t="n"/>
      <c r="E52" s="141">
        <f>IFERROR(AVERAGE(E6:E50),"")</f>
        <v/>
      </c>
      <c r="F52" s="141">
        <f>IFERROR(AVERAGE(F6:F50),"")</f>
        <v/>
      </c>
      <c r="G52" s="141">
        <f>IFERROR(AVERAGE(G6:G50),"")</f>
        <v/>
      </c>
      <c r="H52" s="187">
        <f>IFERROR(AVERAGE(H6:H50),"")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3:H3"/>
    <mergeCell ref="B2:H2"/>
    <mergeCell ref="B52:D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9" customWidth="1" min="10" max="10"/>
    <col width="9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6" customHeight="1">
      <c r="A2" s="1" t="n"/>
      <c r="B2" s="2" t="inlineStr">
        <is>
          <t>🎯 CB 一鍵查詢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2" customHeight="1">
      <c r="A3" s="1" t="n"/>
      <c r="B3" s="4" t="inlineStr">
        <is>
          <t>輸入股票代號,自動列出該公司歷年所有可轉債  ｜  資料期間:民國93年～115年5月31日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44" customHeight="1">
      <c r="A5" s="1" t="n"/>
      <c r="B5" s="162" t="inlineStr">
        <is>
          <t>股票代號</t>
        </is>
      </c>
      <c r="C5" s="155" t="n">
        <v>2383</v>
      </c>
      <c r="D5" s="163" t="inlineStr">
        <is>
          <t>← 請輸入 4 碼
   股票代號</t>
        </is>
      </c>
      <c r="E5" s="153" t="n"/>
      <c r="F5" s="157" t="inlineStr">
        <is>
          <t>該公司 CB 檔數</t>
        </is>
      </c>
      <c r="G5" s="153" t="n"/>
      <c r="H5" s="159">
        <f>IFERROR(COUNTIF(對應表!$B:$B,$C$5),0)</f>
        <v/>
      </c>
      <c r="I5" s="153" t="n"/>
    </row>
    <row r="6" ht="8" customHeight="1">
      <c r="A6" s="1" t="n"/>
      <c r="B6" s="161" t="n"/>
      <c r="C6" s="161" t="n"/>
      <c r="D6" s="161" t="n"/>
      <c r="E6" s="161" t="n"/>
      <c r="F6" s="161" t="n"/>
      <c r="G6" s="161" t="n"/>
      <c r="H6" s="161" t="n"/>
      <c r="I6" s="16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28" customHeight="1">
      <c r="A8" s="1" t="n"/>
      <c r="B8" s="106" t="inlineStr">
        <is>
          <t>序</t>
        </is>
      </c>
      <c r="C8" s="107" t="inlineStr">
        <is>
          <t>CB代號</t>
        </is>
      </c>
      <c r="D8" s="107" t="inlineStr">
        <is>
          <t>CB名稱</t>
        </is>
      </c>
      <c r="E8" s="107" t="inlineStr">
        <is>
          <t>掛牌最高</t>
        </is>
      </c>
      <c r="F8" s="107" t="inlineStr">
        <is>
          <t>掛牌最低</t>
        </is>
      </c>
      <c r="G8" s="107" t="inlineStr">
        <is>
          <t>振幅(倍)</t>
        </is>
      </c>
      <c r="H8" s="107" t="inlineStr">
        <is>
          <t>振幅%</t>
        </is>
      </c>
      <c r="I8" s="107" t="inlineStr">
        <is>
          <t>區間(元)</t>
        </is>
      </c>
      <c r="J8" s="192" t="inlineStr">
        <is>
          <t>異動</t>
        </is>
      </c>
      <c r="K8" s="193" t="inlineStr">
        <is>
          <t>月變化</t>
        </is>
      </c>
    </row>
    <row r="9" ht="22" customHeight="1">
      <c r="A9" s="1" t="n"/>
      <c r="B9" s="109">
        <f>IFERROR(IF(MATCH(1,對應表!$C$2:$C$3000,0)&gt;0,1,""),"")</f>
        <v/>
      </c>
      <c r="C9" s="110">
        <f>IFERROR(INDEX(對應表!$A$2:$A$3000,MATCH(1,對應表!$C$2:$C$3000,0)),"")</f>
        <v/>
      </c>
      <c r="D9" s="110">
        <f>IFERROR(VLOOKUP(C9,CB歷年最高最低價!$A:$D,2,FALSE),"")</f>
        <v/>
      </c>
      <c r="E9" s="111">
        <f>IFERROR(VLOOKUP(C9,CB歷年最高最低價!$A:$D,3,FALSE),"")</f>
        <v/>
      </c>
      <c r="F9" s="111">
        <f>IFERROR(VLOOKUP(C9,CB歷年最高最低價!$A:$D,4,FALSE),"")</f>
        <v/>
      </c>
      <c r="G9" s="111">
        <f>IFERROR(E9/F9,"")</f>
        <v/>
      </c>
      <c r="H9" s="112">
        <f>IFERROR(E9/F9-1,"")</f>
        <v/>
      </c>
      <c r="I9" s="111">
        <f>IFERROR(E9-F9,"")</f>
        <v/>
      </c>
      <c r="J9" s="194">
        <f>IFERROR(IF(VLOOKUP(C9,CB歷年最高最低價!$A:$F,5,FALSE)="H","🔴新高",IF(VLOOKUP(C9,CB歷年最高最低價!$A:$F,5,FALSE)="L","🟢新低",IF(VLOOKUP(C9,CB歷年最高最低價!$A:$F,5,FALSE)="HL","🔴🟢",""))),"")</f>
        <v/>
      </c>
      <c r="K9" s="195">
        <f>IFERROR(IF(VLOOKUP(C9,CB歷年最高最低價!$A:$F,6,FALSE)="","",VLOOKUP(C9,CB歷年最高最低價!$A:$F,6,FALSE)),"")</f>
        <v/>
      </c>
    </row>
    <row r="10" ht="22" customHeight="1">
      <c r="A10" s="1" t="n"/>
      <c r="B10" s="114">
        <f>IFERROR(IF(MATCH(2,對應表!$C$2:$C$3000,0)&gt;0,2,""),"")</f>
        <v/>
      </c>
      <c r="C10" s="115">
        <f>IFERROR(INDEX(對應表!$A$2:$A$3000,MATCH(2,對應表!$C$2:$C$3000,0)),"")</f>
        <v/>
      </c>
      <c r="D10" s="115">
        <f>IFERROR(VLOOKUP(C10,CB歷年最高最低價!$A:$D,2,FALSE),"")</f>
        <v/>
      </c>
      <c r="E10" s="116">
        <f>IFERROR(VLOOKUP(C10,CB歷年最高最低價!$A:$D,3,FALSE),"")</f>
        <v/>
      </c>
      <c r="F10" s="116">
        <f>IFERROR(VLOOKUP(C10,CB歷年最高最低價!$A:$D,4,FALSE),"")</f>
        <v/>
      </c>
      <c r="G10" s="116">
        <f>IFERROR(E10/F10,"")</f>
        <v/>
      </c>
      <c r="H10" s="117">
        <f>IFERROR(E10/F10-1,"")</f>
        <v/>
      </c>
      <c r="I10" s="116">
        <f>IFERROR(E10-F10,"")</f>
        <v/>
      </c>
      <c r="J10" s="196">
        <f>IFERROR(IF(VLOOKUP(C10,CB歷年最高最低價!$A:$F,5,FALSE)="H","🔴新高",IF(VLOOKUP(C10,CB歷年最高最低價!$A:$F,5,FALSE)="L","🟢新低",IF(VLOOKUP(C10,CB歷年最高最低價!$A:$F,5,FALSE)="HL","🔴🟢",""))),"")</f>
        <v/>
      </c>
      <c r="K10" s="197">
        <f>IFERROR(IF(VLOOKUP(C10,CB歷年最高最低價!$A:$F,6,FALSE)="","",VLOOKUP(C10,CB歷年最高最低價!$A:$F,6,FALSE)),"")</f>
        <v/>
      </c>
    </row>
    <row r="11" ht="22" customHeight="1">
      <c r="A11" s="1" t="n"/>
      <c r="B11" s="109">
        <f>IFERROR(IF(MATCH(3,對應表!$C$2:$C$3000,0)&gt;0,3,""),"")</f>
        <v/>
      </c>
      <c r="C11" s="110">
        <f>IFERROR(INDEX(對應表!$A$2:$A$3000,MATCH(3,對應表!$C$2:$C$3000,0)),"")</f>
        <v/>
      </c>
      <c r="D11" s="110">
        <f>IFERROR(VLOOKUP(C11,CB歷年最高最低價!$A:$D,2,FALSE),"")</f>
        <v/>
      </c>
      <c r="E11" s="111">
        <f>IFERROR(VLOOKUP(C11,CB歷年最高最低價!$A:$D,3,FALSE),"")</f>
        <v/>
      </c>
      <c r="F11" s="111">
        <f>IFERROR(VLOOKUP(C11,CB歷年最高最低價!$A:$D,4,FALSE),"")</f>
        <v/>
      </c>
      <c r="G11" s="111">
        <f>IFERROR(E11/F11,"")</f>
        <v/>
      </c>
      <c r="H11" s="112">
        <f>IFERROR(E11/F11-1,"")</f>
        <v/>
      </c>
      <c r="I11" s="111">
        <f>IFERROR(E11-F11,"")</f>
        <v/>
      </c>
      <c r="J11" s="194">
        <f>IFERROR(IF(VLOOKUP(C11,CB歷年最高最低價!$A:$F,5,FALSE)="H","🔴新高",IF(VLOOKUP(C11,CB歷年最高最低價!$A:$F,5,FALSE)="L","🟢新低",IF(VLOOKUP(C11,CB歷年最高最低價!$A:$F,5,FALSE)="HL","🔴🟢",""))),"")</f>
        <v/>
      </c>
      <c r="K11" s="195">
        <f>IFERROR(IF(VLOOKUP(C11,CB歷年最高最低價!$A:$F,6,FALSE)="","",VLOOKUP(C11,CB歷年最高最低價!$A:$F,6,FALSE)),"")</f>
        <v/>
      </c>
    </row>
    <row r="12" ht="22" customHeight="1">
      <c r="A12" s="1" t="n"/>
      <c r="B12" s="114">
        <f>IFERROR(IF(MATCH(4,對應表!$C$2:$C$3000,0)&gt;0,4,""),"")</f>
        <v/>
      </c>
      <c r="C12" s="115">
        <f>IFERROR(INDEX(對應表!$A$2:$A$3000,MATCH(4,對應表!$C$2:$C$3000,0)),"")</f>
        <v/>
      </c>
      <c r="D12" s="115">
        <f>IFERROR(VLOOKUP(C12,CB歷年最高最低價!$A:$D,2,FALSE),"")</f>
        <v/>
      </c>
      <c r="E12" s="116">
        <f>IFERROR(VLOOKUP(C12,CB歷年最高最低價!$A:$D,3,FALSE),"")</f>
        <v/>
      </c>
      <c r="F12" s="116">
        <f>IFERROR(VLOOKUP(C12,CB歷年最高最低價!$A:$D,4,FALSE),"")</f>
        <v/>
      </c>
      <c r="G12" s="116">
        <f>IFERROR(E12/F12,"")</f>
        <v/>
      </c>
      <c r="H12" s="117">
        <f>IFERROR(E12/F12-1,"")</f>
        <v/>
      </c>
      <c r="I12" s="116">
        <f>IFERROR(E12-F12,"")</f>
        <v/>
      </c>
      <c r="J12" s="196">
        <f>IFERROR(IF(VLOOKUP(C12,CB歷年最高最低價!$A:$F,5,FALSE)="H","🔴新高",IF(VLOOKUP(C12,CB歷年最高最低價!$A:$F,5,FALSE)="L","🟢新低",IF(VLOOKUP(C12,CB歷年最高最低價!$A:$F,5,FALSE)="HL","🔴🟢",""))),"")</f>
        <v/>
      </c>
      <c r="K12" s="197">
        <f>IFERROR(IF(VLOOKUP(C12,CB歷年最高最低價!$A:$F,6,FALSE)="","",VLOOKUP(C12,CB歷年最高最低價!$A:$F,6,FALSE)),"")</f>
        <v/>
      </c>
    </row>
    <row r="13" ht="22" customHeight="1">
      <c r="A13" s="1" t="n"/>
      <c r="B13" s="109">
        <f>IFERROR(IF(MATCH(5,對應表!$C$2:$C$3000,0)&gt;0,5,""),"")</f>
        <v/>
      </c>
      <c r="C13" s="110">
        <f>IFERROR(INDEX(對應表!$A$2:$A$3000,MATCH(5,對應表!$C$2:$C$3000,0)),"")</f>
        <v/>
      </c>
      <c r="D13" s="110">
        <f>IFERROR(VLOOKUP(C13,CB歷年最高最低價!$A:$D,2,FALSE),"")</f>
        <v/>
      </c>
      <c r="E13" s="111">
        <f>IFERROR(VLOOKUP(C13,CB歷年最高最低價!$A:$D,3,FALSE),"")</f>
        <v/>
      </c>
      <c r="F13" s="111">
        <f>IFERROR(VLOOKUP(C13,CB歷年最高最低價!$A:$D,4,FALSE),"")</f>
        <v/>
      </c>
      <c r="G13" s="111">
        <f>IFERROR(E13/F13,"")</f>
        <v/>
      </c>
      <c r="H13" s="112">
        <f>IFERROR(E13/F13-1,"")</f>
        <v/>
      </c>
      <c r="I13" s="111">
        <f>IFERROR(E13-F13,"")</f>
        <v/>
      </c>
      <c r="J13" s="194">
        <f>IFERROR(IF(VLOOKUP(C13,CB歷年最高最低價!$A:$F,5,FALSE)="H","🔴新高",IF(VLOOKUP(C13,CB歷年最高最低價!$A:$F,5,FALSE)="L","🟢新低",IF(VLOOKUP(C13,CB歷年最高最低價!$A:$F,5,FALSE)="HL","🔴🟢",""))),"")</f>
        <v/>
      </c>
      <c r="K13" s="195">
        <f>IFERROR(IF(VLOOKUP(C13,CB歷年最高最低價!$A:$F,6,FALSE)="","",VLOOKUP(C13,CB歷年最高最低價!$A:$F,6,FALSE)),"")</f>
        <v/>
      </c>
    </row>
    <row r="14" ht="22" customHeight="1">
      <c r="A14" s="1" t="n"/>
      <c r="B14" s="114">
        <f>IFERROR(IF(MATCH(6,對應表!$C$2:$C$3000,0)&gt;0,6,""),"")</f>
        <v/>
      </c>
      <c r="C14" s="115">
        <f>IFERROR(INDEX(對應表!$A$2:$A$3000,MATCH(6,對應表!$C$2:$C$3000,0)),"")</f>
        <v/>
      </c>
      <c r="D14" s="115">
        <f>IFERROR(VLOOKUP(C14,CB歷年最高最低價!$A:$D,2,FALSE),"")</f>
        <v/>
      </c>
      <c r="E14" s="116">
        <f>IFERROR(VLOOKUP(C14,CB歷年最高最低價!$A:$D,3,FALSE),"")</f>
        <v/>
      </c>
      <c r="F14" s="116">
        <f>IFERROR(VLOOKUP(C14,CB歷年最高最低價!$A:$D,4,FALSE),"")</f>
        <v/>
      </c>
      <c r="G14" s="116">
        <f>IFERROR(E14/F14,"")</f>
        <v/>
      </c>
      <c r="H14" s="117">
        <f>IFERROR(E14/F14-1,"")</f>
        <v/>
      </c>
      <c r="I14" s="116">
        <f>IFERROR(E14-F14,"")</f>
        <v/>
      </c>
      <c r="J14" s="196">
        <f>IFERROR(IF(VLOOKUP(C14,CB歷年最高最低價!$A:$F,5,FALSE)="H","🔴新高",IF(VLOOKUP(C14,CB歷年最高最低價!$A:$F,5,FALSE)="L","🟢新低",IF(VLOOKUP(C14,CB歷年最高最低價!$A:$F,5,FALSE)="HL","🔴🟢",""))),"")</f>
        <v/>
      </c>
      <c r="K14" s="197">
        <f>IFERROR(IF(VLOOKUP(C14,CB歷年最高最低價!$A:$F,6,FALSE)="","",VLOOKUP(C14,CB歷年最高最低價!$A:$F,6,FALSE)),"")</f>
        <v/>
      </c>
    </row>
    <row r="15" ht="22" customHeight="1">
      <c r="A15" s="1" t="n"/>
      <c r="B15" s="109">
        <f>IFERROR(IF(MATCH(7,對應表!$C$2:$C$3000,0)&gt;0,7,""),"")</f>
        <v/>
      </c>
      <c r="C15" s="110">
        <f>IFERROR(INDEX(對應表!$A$2:$A$3000,MATCH(7,對應表!$C$2:$C$3000,0)),"")</f>
        <v/>
      </c>
      <c r="D15" s="110">
        <f>IFERROR(VLOOKUP(C15,CB歷年最高最低價!$A:$D,2,FALSE),"")</f>
        <v/>
      </c>
      <c r="E15" s="111">
        <f>IFERROR(VLOOKUP(C15,CB歷年最高最低價!$A:$D,3,FALSE),"")</f>
        <v/>
      </c>
      <c r="F15" s="111">
        <f>IFERROR(VLOOKUP(C15,CB歷年最高最低價!$A:$D,4,FALSE),"")</f>
        <v/>
      </c>
      <c r="G15" s="111">
        <f>IFERROR(E15/F15,"")</f>
        <v/>
      </c>
      <c r="H15" s="112">
        <f>IFERROR(E15/F15-1,"")</f>
        <v/>
      </c>
      <c r="I15" s="111">
        <f>IFERROR(E15-F15,"")</f>
        <v/>
      </c>
      <c r="J15" s="194">
        <f>IFERROR(IF(VLOOKUP(C15,CB歷年最高最低價!$A:$F,5,FALSE)="H","🔴新高",IF(VLOOKUP(C15,CB歷年最高最低價!$A:$F,5,FALSE)="L","🟢新低",IF(VLOOKUP(C15,CB歷年最高最低價!$A:$F,5,FALSE)="HL","🔴🟢",""))),"")</f>
        <v/>
      </c>
      <c r="K15" s="195">
        <f>IFERROR(IF(VLOOKUP(C15,CB歷年最高最低價!$A:$F,6,FALSE)="","",VLOOKUP(C15,CB歷年最高最低價!$A:$F,6,FALSE)),"")</f>
        <v/>
      </c>
    </row>
    <row r="16" ht="22" customHeight="1">
      <c r="A16" s="1" t="n"/>
      <c r="B16" s="114">
        <f>IFERROR(IF(MATCH(8,對應表!$C$2:$C$3000,0)&gt;0,8,""),"")</f>
        <v/>
      </c>
      <c r="C16" s="115">
        <f>IFERROR(INDEX(對應表!$A$2:$A$3000,MATCH(8,對應表!$C$2:$C$3000,0)),"")</f>
        <v/>
      </c>
      <c r="D16" s="115">
        <f>IFERROR(VLOOKUP(C16,CB歷年最高最低價!$A:$D,2,FALSE),"")</f>
        <v/>
      </c>
      <c r="E16" s="116">
        <f>IFERROR(VLOOKUP(C16,CB歷年最高最低價!$A:$D,3,FALSE),"")</f>
        <v/>
      </c>
      <c r="F16" s="116">
        <f>IFERROR(VLOOKUP(C16,CB歷年最高最低價!$A:$D,4,FALSE),"")</f>
        <v/>
      </c>
      <c r="G16" s="116">
        <f>IFERROR(E16/F16,"")</f>
        <v/>
      </c>
      <c r="H16" s="117">
        <f>IFERROR(E16/F16-1,"")</f>
        <v/>
      </c>
      <c r="I16" s="116">
        <f>IFERROR(E16-F16,"")</f>
        <v/>
      </c>
      <c r="J16" s="196">
        <f>IFERROR(IF(VLOOKUP(C16,CB歷年最高最低價!$A:$F,5,FALSE)="H","🔴新高",IF(VLOOKUP(C16,CB歷年最高最低價!$A:$F,5,FALSE)="L","🟢新低",IF(VLOOKUP(C16,CB歷年最高最低價!$A:$F,5,FALSE)="HL","🔴🟢",""))),"")</f>
        <v/>
      </c>
      <c r="K16" s="197">
        <f>IFERROR(IF(VLOOKUP(C16,CB歷年最高最低價!$A:$F,6,FALSE)="","",VLOOKUP(C16,CB歷年最高最低價!$A:$F,6,FALSE)),"")</f>
        <v/>
      </c>
    </row>
    <row r="17" ht="22" customHeight="1">
      <c r="A17" s="1" t="n"/>
      <c r="B17" s="109">
        <f>IFERROR(IF(MATCH(9,對應表!$C$2:$C$3000,0)&gt;0,9,""),"")</f>
        <v/>
      </c>
      <c r="C17" s="110">
        <f>IFERROR(INDEX(對應表!$A$2:$A$3000,MATCH(9,對應表!$C$2:$C$3000,0)),"")</f>
        <v/>
      </c>
      <c r="D17" s="110">
        <f>IFERROR(VLOOKUP(C17,CB歷年最高最低價!$A:$D,2,FALSE),"")</f>
        <v/>
      </c>
      <c r="E17" s="111">
        <f>IFERROR(VLOOKUP(C17,CB歷年最高最低價!$A:$D,3,FALSE),"")</f>
        <v/>
      </c>
      <c r="F17" s="111">
        <f>IFERROR(VLOOKUP(C17,CB歷年最高最低價!$A:$D,4,FALSE),"")</f>
        <v/>
      </c>
      <c r="G17" s="111">
        <f>IFERROR(E17/F17,"")</f>
        <v/>
      </c>
      <c r="H17" s="112">
        <f>IFERROR(E17/F17-1,"")</f>
        <v/>
      </c>
      <c r="I17" s="111">
        <f>IFERROR(E17-F17,"")</f>
        <v/>
      </c>
      <c r="J17" s="194">
        <f>IFERROR(IF(VLOOKUP(C17,CB歷年最高最低價!$A:$F,5,FALSE)="H","🔴新高",IF(VLOOKUP(C17,CB歷年最高最低價!$A:$F,5,FALSE)="L","🟢新低",IF(VLOOKUP(C17,CB歷年最高最低價!$A:$F,5,FALSE)="HL","🔴🟢",""))),"")</f>
        <v/>
      </c>
      <c r="K17" s="195">
        <f>IFERROR(IF(VLOOKUP(C17,CB歷年最高最低價!$A:$F,6,FALSE)="","",VLOOKUP(C17,CB歷年最高最低價!$A:$F,6,FALSE)),"")</f>
        <v/>
      </c>
    </row>
    <row r="18" ht="22" customHeight="1">
      <c r="A18" s="1" t="n"/>
      <c r="B18" s="114">
        <f>IFERROR(IF(MATCH(10,對應表!$C$2:$C$3000,0)&gt;0,10,""),"")</f>
        <v/>
      </c>
      <c r="C18" s="115">
        <f>IFERROR(INDEX(對應表!$A$2:$A$3000,MATCH(10,對應表!$C$2:$C$3000,0)),"")</f>
        <v/>
      </c>
      <c r="D18" s="115">
        <f>IFERROR(VLOOKUP(C18,CB歷年最高最低價!$A:$D,2,FALSE),"")</f>
        <v/>
      </c>
      <c r="E18" s="116">
        <f>IFERROR(VLOOKUP(C18,CB歷年最高最低價!$A:$D,3,FALSE),"")</f>
        <v/>
      </c>
      <c r="F18" s="116">
        <f>IFERROR(VLOOKUP(C18,CB歷年最高最低價!$A:$D,4,FALSE),"")</f>
        <v/>
      </c>
      <c r="G18" s="116">
        <f>IFERROR(E18/F18,"")</f>
        <v/>
      </c>
      <c r="H18" s="117">
        <f>IFERROR(E18/F18-1,"")</f>
        <v/>
      </c>
      <c r="I18" s="116">
        <f>IFERROR(E18-F18,"")</f>
        <v/>
      </c>
      <c r="J18" s="196">
        <f>IFERROR(IF(VLOOKUP(C18,CB歷年最高最低價!$A:$F,5,FALSE)="H","🔴新高",IF(VLOOKUP(C18,CB歷年最高最低價!$A:$F,5,FALSE)="L","🟢新低",IF(VLOOKUP(C18,CB歷年最高最低價!$A:$F,5,FALSE)="HL","🔴🟢",""))),"")</f>
        <v/>
      </c>
      <c r="K18" s="197">
        <f>IFERROR(IF(VLOOKUP(C18,CB歷年最高最低價!$A:$F,6,FALSE)="","",VLOOKUP(C18,CB歷年最高最低價!$A:$F,6,FALSE)),"")</f>
        <v/>
      </c>
    </row>
    <row r="19" ht="22" customHeight="1">
      <c r="A19" s="1" t="n"/>
      <c r="B19" s="109">
        <f>IFERROR(IF(MATCH(11,對應表!$C$2:$C$3000,0)&gt;0,11,""),"")</f>
        <v/>
      </c>
      <c r="C19" s="110">
        <f>IFERROR(INDEX(對應表!$A$2:$A$3000,MATCH(11,對應表!$C$2:$C$3000,0)),"")</f>
        <v/>
      </c>
      <c r="D19" s="110">
        <f>IFERROR(VLOOKUP(C19,CB歷年最高最低價!$A:$D,2,FALSE),"")</f>
        <v/>
      </c>
      <c r="E19" s="111">
        <f>IFERROR(VLOOKUP(C19,CB歷年最高最低價!$A:$D,3,FALSE),"")</f>
        <v/>
      </c>
      <c r="F19" s="111">
        <f>IFERROR(VLOOKUP(C19,CB歷年最高最低價!$A:$D,4,FALSE),"")</f>
        <v/>
      </c>
      <c r="G19" s="111">
        <f>IFERROR(E19/F19,"")</f>
        <v/>
      </c>
      <c r="H19" s="112">
        <f>IFERROR(E19/F19-1,"")</f>
        <v/>
      </c>
      <c r="I19" s="111">
        <f>IFERROR(E19-F19,"")</f>
        <v/>
      </c>
      <c r="J19" s="194">
        <f>IFERROR(IF(VLOOKUP(C19,CB歷年最高最低價!$A:$F,5,FALSE)="H","🔴新高",IF(VLOOKUP(C19,CB歷年最高最低價!$A:$F,5,FALSE)="L","🟢新低",IF(VLOOKUP(C19,CB歷年最高最低價!$A:$F,5,FALSE)="HL","🔴🟢",""))),"")</f>
        <v/>
      </c>
      <c r="K19" s="195">
        <f>IFERROR(IF(VLOOKUP(C19,CB歷年最高最低價!$A:$F,6,FALSE)="","",VLOOKUP(C19,CB歷年最高最低價!$A:$F,6,FALSE)),"")</f>
        <v/>
      </c>
    </row>
    <row r="20" ht="22" customHeight="1">
      <c r="A20" s="1" t="n"/>
      <c r="B20" s="114">
        <f>IFERROR(IF(MATCH(12,對應表!$C$2:$C$3000,0)&gt;0,12,""),"")</f>
        <v/>
      </c>
      <c r="C20" s="115">
        <f>IFERROR(INDEX(對應表!$A$2:$A$3000,MATCH(12,對應表!$C$2:$C$3000,0)),"")</f>
        <v/>
      </c>
      <c r="D20" s="115">
        <f>IFERROR(VLOOKUP(C20,CB歷年最高最低價!$A:$D,2,FALSE),"")</f>
        <v/>
      </c>
      <c r="E20" s="116">
        <f>IFERROR(VLOOKUP(C20,CB歷年最高最低價!$A:$D,3,FALSE),"")</f>
        <v/>
      </c>
      <c r="F20" s="116">
        <f>IFERROR(VLOOKUP(C20,CB歷年最高最低價!$A:$D,4,FALSE),"")</f>
        <v/>
      </c>
      <c r="G20" s="116">
        <f>IFERROR(E20/F20,"")</f>
        <v/>
      </c>
      <c r="H20" s="117">
        <f>IFERROR(E20/F20-1,"")</f>
        <v/>
      </c>
      <c r="I20" s="116">
        <f>IFERROR(E20-F20,"")</f>
        <v/>
      </c>
      <c r="J20" s="196">
        <f>IFERROR(IF(VLOOKUP(C20,CB歷年最高最低價!$A:$F,5,FALSE)="H","🔴新高",IF(VLOOKUP(C20,CB歷年最高最低價!$A:$F,5,FALSE)="L","🟢新低",IF(VLOOKUP(C20,CB歷年最高最低價!$A:$F,5,FALSE)="HL","🔴🟢",""))),"")</f>
        <v/>
      </c>
      <c r="K20" s="197">
        <f>IFERROR(IF(VLOOKUP(C20,CB歷年最高最低價!$A:$F,6,FALSE)="","",VLOOKUP(C20,CB歷年最高最低價!$A:$F,6,FALSE)),"")</f>
        <v/>
      </c>
    </row>
    <row r="21" ht="22" customHeight="1">
      <c r="A21" s="1" t="n"/>
      <c r="B21" s="109">
        <f>IFERROR(IF(MATCH(13,對應表!$C$2:$C$3000,0)&gt;0,13,""),"")</f>
        <v/>
      </c>
      <c r="C21" s="110">
        <f>IFERROR(INDEX(對應表!$A$2:$A$3000,MATCH(13,對應表!$C$2:$C$3000,0)),"")</f>
        <v/>
      </c>
      <c r="D21" s="110">
        <f>IFERROR(VLOOKUP(C21,CB歷年最高最低價!$A:$D,2,FALSE),"")</f>
        <v/>
      </c>
      <c r="E21" s="111">
        <f>IFERROR(VLOOKUP(C21,CB歷年最高最低價!$A:$D,3,FALSE),"")</f>
        <v/>
      </c>
      <c r="F21" s="111">
        <f>IFERROR(VLOOKUP(C21,CB歷年最高最低價!$A:$D,4,FALSE),"")</f>
        <v/>
      </c>
      <c r="G21" s="111">
        <f>IFERROR(E21/F21,"")</f>
        <v/>
      </c>
      <c r="H21" s="112">
        <f>IFERROR(E21/F21-1,"")</f>
        <v/>
      </c>
      <c r="I21" s="111">
        <f>IFERROR(E21-F21,"")</f>
        <v/>
      </c>
      <c r="J21" s="194">
        <f>IFERROR(IF(VLOOKUP(C21,CB歷年最高最低價!$A:$F,5,FALSE)="H","🔴新高",IF(VLOOKUP(C21,CB歷年最高最低價!$A:$F,5,FALSE)="L","🟢新低",IF(VLOOKUP(C21,CB歷年最高最低價!$A:$F,5,FALSE)="HL","🔴🟢",""))),"")</f>
        <v/>
      </c>
      <c r="K21" s="195">
        <f>IFERROR(IF(VLOOKUP(C21,CB歷年最高最低價!$A:$F,6,FALSE)="","",VLOOKUP(C21,CB歷年最高最低價!$A:$F,6,FALSE)),"")</f>
        <v/>
      </c>
    </row>
    <row r="22" ht="22" customHeight="1">
      <c r="A22" s="1" t="n"/>
      <c r="B22" s="114">
        <f>IFERROR(IF(MATCH(14,對應表!$C$2:$C$3000,0)&gt;0,14,""),"")</f>
        <v/>
      </c>
      <c r="C22" s="115">
        <f>IFERROR(INDEX(對應表!$A$2:$A$3000,MATCH(14,對應表!$C$2:$C$3000,0)),"")</f>
        <v/>
      </c>
      <c r="D22" s="115">
        <f>IFERROR(VLOOKUP(C22,CB歷年最高最低價!$A:$D,2,FALSE),"")</f>
        <v/>
      </c>
      <c r="E22" s="116">
        <f>IFERROR(VLOOKUP(C22,CB歷年最高最低價!$A:$D,3,FALSE),"")</f>
        <v/>
      </c>
      <c r="F22" s="116">
        <f>IFERROR(VLOOKUP(C22,CB歷年最高最低價!$A:$D,4,FALSE),"")</f>
        <v/>
      </c>
      <c r="G22" s="116">
        <f>IFERROR(E22/F22,"")</f>
        <v/>
      </c>
      <c r="H22" s="117">
        <f>IFERROR(E22/F22-1,"")</f>
        <v/>
      </c>
      <c r="I22" s="116">
        <f>IFERROR(E22-F22,"")</f>
        <v/>
      </c>
      <c r="J22" s="196">
        <f>IFERROR(IF(VLOOKUP(C22,CB歷年最高最低價!$A:$F,5,FALSE)="H","🔴新高",IF(VLOOKUP(C22,CB歷年最高最低價!$A:$F,5,FALSE)="L","🟢新低",IF(VLOOKUP(C22,CB歷年最高最低價!$A:$F,5,FALSE)="HL","🔴🟢",""))),"")</f>
        <v/>
      </c>
      <c r="K22" s="197">
        <f>IFERROR(IF(VLOOKUP(C22,CB歷年最高最低價!$A:$F,6,FALSE)="","",VLOOKUP(C22,CB歷年最高最低價!$A:$F,6,FALSE)),"")</f>
        <v/>
      </c>
    </row>
    <row r="23" ht="22" customHeight="1">
      <c r="A23" s="1" t="n"/>
      <c r="B23" s="109">
        <f>IFERROR(IF(MATCH(15,對應表!$C$2:$C$3000,0)&gt;0,15,""),"")</f>
        <v/>
      </c>
      <c r="C23" s="110">
        <f>IFERROR(INDEX(對應表!$A$2:$A$3000,MATCH(15,對應表!$C$2:$C$3000,0)),"")</f>
        <v/>
      </c>
      <c r="D23" s="110">
        <f>IFERROR(VLOOKUP(C23,CB歷年最高最低價!$A:$D,2,FALSE),"")</f>
        <v/>
      </c>
      <c r="E23" s="111">
        <f>IFERROR(VLOOKUP(C23,CB歷年最高最低價!$A:$D,3,FALSE),"")</f>
        <v/>
      </c>
      <c r="F23" s="111">
        <f>IFERROR(VLOOKUP(C23,CB歷年最高最低價!$A:$D,4,FALSE),"")</f>
        <v/>
      </c>
      <c r="G23" s="111">
        <f>IFERROR(E23/F23,"")</f>
        <v/>
      </c>
      <c r="H23" s="112">
        <f>IFERROR(E23/F23-1,"")</f>
        <v/>
      </c>
      <c r="I23" s="111">
        <f>IFERROR(E23-F23,"")</f>
        <v/>
      </c>
      <c r="J23" s="194">
        <f>IFERROR(IF(VLOOKUP(C23,CB歷年最高最低價!$A:$F,5,FALSE)="H","🔴新高",IF(VLOOKUP(C23,CB歷年最高最低價!$A:$F,5,FALSE)="L","🟢新低",IF(VLOOKUP(C23,CB歷年最高最低價!$A:$F,5,FALSE)="HL","🔴🟢",""))),"")</f>
        <v/>
      </c>
      <c r="K23" s="195">
        <f>IFERROR(IF(VLOOKUP(C23,CB歷年最高最低價!$A:$F,6,FALSE)="","",VLOOKUP(C23,CB歷年最高最低價!$A:$F,6,FALSE)),"")</f>
        <v/>
      </c>
    </row>
    <row r="24" ht="22" customHeight="1">
      <c r="A24" s="1" t="n"/>
      <c r="B24" s="114">
        <f>IFERROR(IF(MATCH(16,對應表!$C$2:$C$3000,0)&gt;0,16,""),"")</f>
        <v/>
      </c>
      <c r="C24" s="115">
        <f>IFERROR(INDEX(對應表!$A$2:$A$3000,MATCH(16,對應表!$C$2:$C$3000,0)),"")</f>
        <v/>
      </c>
      <c r="D24" s="115">
        <f>IFERROR(VLOOKUP(C24,CB歷年最高最低價!$A:$D,2,FALSE),"")</f>
        <v/>
      </c>
      <c r="E24" s="116">
        <f>IFERROR(VLOOKUP(C24,CB歷年最高最低價!$A:$D,3,FALSE),"")</f>
        <v/>
      </c>
      <c r="F24" s="116">
        <f>IFERROR(VLOOKUP(C24,CB歷年最高最低價!$A:$D,4,FALSE),"")</f>
        <v/>
      </c>
      <c r="G24" s="116">
        <f>IFERROR(E24/F24,"")</f>
        <v/>
      </c>
      <c r="H24" s="117">
        <f>IFERROR(E24/F24-1,"")</f>
        <v/>
      </c>
      <c r="I24" s="116">
        <f>IFERROR(E24-F24,"")</f>
        <v/>
      </c>
      <c r="J24" s="196">
        <f>IFERROR(IF(VLOOKUP(C24,CB歷年最高最低價!$A:$F,5,FALSE)="H","🔴新高",IF(VLOOKUP(C24,CB歷年最高最低價!$A:$F,5,FALSE)="L","🟢新低",IF(VLOOKUP(C24,CB歷年最高最低價!$A:$F,5,FALSE)="HL","🔴🟢",""))),"")</f>
        <v/>
      </c>
      <c r="K24" s="197">
        <f>IFERROR(IF(VLOOKUP(C24,CB歷年最高最低價!$A:$F,6,FALSE)="","",VLOOKUP(C24,CB歷年最高最低價!$A:$F,6,FALSE)),"")</f>
        <v/>
      </c>
    </row>
    <row r="25" ht="22" customHeight="1">
      <c r="A25" s="1" t="n"/>
      <c r="B25" s="109">
        <f>IFERROR(IF(MATCH(17,對應表!$C$2:$C$3000,0)&gt;0,17,""),"")</f>
        <v/>
      </c>
      <c r="C25" s="110">
        <f>IFERROR(INDEX(對應表!$A$2:$A$3000,MATCH(17,對應表!$C$2:$C$3000,0)),"")</f>
        <v/>
      </c>
      <c r="D25" s="110">
        <f>IFERROR(VLOOKUP(C25,CB歷年最高最低價!$A:$D,2,FALSE),"")</f>
        <v/>
      </c>
      <c r="E25" s="111">
        <f>IFERROR(VLOOKUP(C25,CB歷年最高最低價!$A:$D,3,FALSE),"")</f>
        <v/>
      </c>
      <c r="F25" s="111">
        <f>IFERROR(VLOOKUP(C25,CB歷年最高最低價!$A:$D,4,FALSE),"")</f>
        <v/>
      </c>
      <c r="G25" s="111">
        <f>IFERROR(E25/F25,"")</f>
        <v/>
      </c>
      <c r="H25" s="112">
        <f>IFERROR(E25/F25-1,"")</f>
        <v/>
      </c>
      <c r="I25" s="111">
        <f>IFERROR(E25-F25,"")</f>
        <v/>
      </c>
      <c r="J25" s="194">
        <f>IFERROR(IF(VLOOKUP(C25,CB歷年最高最低價!$A:$F,5,FALSE)="H","🔴新高",IF(VLOOKUP(C25,CB歷年最高最低價!$A:$F,5,FALSE)="L","🟢新低",IF(VLOOKUP(C25,CB歷年最高最低價!$A:$F,5,FALSE)="HL","🔴🟢",""))),"")</f>
        <v/>
      </c>
      <c r="K25" s="195">
        <f>IFERROR(IF(VLOOKUP(C25,CB歷年最高最低價!$A:$F,6,FALSE)="","",VLOOKUP(C25,CB歷年最高最低價!$A:$F,6,FALSE)),"")</f>
        <v/>
      </c>
    </row>
    <row r="26" ht="22" customHeight="1">
      <c r="A26" s="1" t="n"/>
      <c r="B26" s="114">
        <f>IFERROR(IF(MATCH(18,對應表!$C$2:$C$3000,0)&gt;0,18,""),"")</f>
        <v/>
      </c>
      <c r="C26" s="115">
        <f>IFERROR(INDEX(對應表!$A$2:$A$3000,MATCH(18,對應表!$C$2:$C$3000,0)),"")</f>
        <v/>
      </c>
      <c r="D26" s="115">
        <f>IFERROR(VLOOKUP(C26,CB歷年最高最低價!$A:$D,2,FALSE),"")</f>
        <v/>
      </c>
      <c r="E26" s="116">
        <f>IFERROR(VLOOKUP(C26,CB歷年最高最低價!$A:$D,3,FALSE),"")</f>
        <v/>
      </c>
      <c r="F26" s="116">
        <f>IFERROR(VLOOKUP(C26,CB歷年最高最低價!$A:$D,4,FALSE),"")</f>
        <v/>
      </c>
      <c r="G26" s="116">
        <f>IFERROR(E26/F26,"")</f>
        <v/>
      </c>
      <c r="H26" s="117">
        <f>IFERROR(E26/F26-1,"")</f>
        <v/>
      </c>
      <c r="I26" s="116">
        <f>IFERROR(E26-F26,"")</f>
        <v/>
      </c>
      <c r="J26" s="196">
        <f>IFERROR(IF(VLOOKUP(C26,CB歷年最高最低價!$A:$F,5,FALSE)="H","🔴新高",IF(VLOOKUP(C26,CB歷年最高最低價!$A:$F,5,FALSE)="L","🟢新低",IF(VLOOKUP(C26,CB歷年最高最低價!$A:$F,5,FALSE)="HL","🔴🟢",""))),"")</f>
        <v/>
      </c>
      <c r="K26" s="197">
        <f>IFERROR(IF(VLOOKUP(C26,CB歷年最高最低價!$A:$F,6,FALSE)="","",VLOOKUP(C26,CB歷年最高最低價!$A:$F,6,FALSE)),"")</f>
        <v/>
      </c>
    </row>
    <row r="27" ht="22" customHeight="1">
      <c r="A27" s="1" t="n"/>
      <c r="B27" s="109">
        <f>IFERROR(IF(MATCH(19,對應表!$C$2:$C$3000,0)&gt;0,19,""),"")</f>
        <v/>
      </c>
      <c r="C27" s="110">
        <f>IFERROR(INDEX(對應表!$A$2:$A$3000,MATCH(19,對應表!$C$2:$C$3000,0)),"")</f>
        <v/>
      </c>
      <c r="D27" s="110">
        <f>IFERROR(VLOOKUP(C27,CB歷年最高最低價!$A:$D,2,FALSE),"")</f>
        <v/>
      </c>
      <c r="E27" s="111">
        <f>IFERROR(VLOOKUP(C27,CB歷年最高最低價!$A:$D,3,FALSE),"")</f>
        <v/>
      </c>
      <c r="F27" s="111">
        <f>IFERROR(VLOOKUP(C27,CB歷年最高最低價!$A:$D,4,FALSE),"")</f>
        <v/>
      </c>
      <c r="G27" s="111">
        <f>IFERROR(E27/F27,"")</f>
        <v/>
      </c>
      <c r="H27" s="112">
        <f>IFERROR(E27/F27-1,"")</f>
        <v/>
      </c>
      <c r="I27" s="111">
        <f>IFERROR(E27-F27,"")</f>
        <v/>
      </c>
      <c r="J27" s="194">
        <f>IFERROR(IF(VLOOKUP(C27,CB歷年最高最低價!$A:$F,5,FALSE)="H","🔴新高",IF(VLOOKUP(C27,CB歷年最高最低價!$A:$F,5,FALSE)="L","🟢新低",IF(VLOOKUP(C27,CB歷年最高最低價!$A:$F,5,FALSE)="HL","🔴🟢",""))),"")</f>
        <v/>
      </c>
      <c r="K27" s="195">
        <f>IFERROR(IF(VLOOKUP(C27,CB歷年最高最低價!$A:$F,6,FALSE)="","",VLOOKUP(C27,CB歷年最高最低價!$A:$F,6,FALSE)),"")</f>
        <v/>
      </c>
    </row>
    <row r="28" ht="22" customHeight="1">
      <c r="A28" s="1" t="n"/>
      <c r="B28" s="119">
        <f>IFERROR(IF(MATCH(20,對應表!$C$2:$C$3000,0)&gt;0,20,""),"")</f>
        <v/>
      </c>
      <c r="C28" s="120">
        <f>IFERROR(INDEX(對應表!$A$2:$A$3000,MATCH(20,對應表!$C$2:$C$3000,0)),"")</f>
        <v/>
      </c>
      <c r="D28" s="120">
        <f>IFERROR(VLOOKUP(C28,CB歷年最高最低價!$A:$D,2,FALSE),"")</f>
        <v/>
      </c>
      <c r="E28" s="121">
        <f>IFERROR(VLOOKUP(C28,CB歷年最高最低價!$A:$D,3,FALSE),"")</f>
        <v/>
      </c>
      <c r="F28" s="121">
        <f>IFERROR(VLOOKUP(C28,CB歷年最高最低價!$A:$D,4,FALSE),"")</f>
        <v/>
      </c>
      <c r="G28" s="121">
        <f>IFERROR(E28/F28,"")</f>
        <v/>
      </c>
      <c r="H28" s="122">
        <f>IFERROR(E28/F28-1,"")</f>
        <v/>
      </c>
      <c r="I28" s="121">
        <f>IFERROR(E28-F28,"")</f>
        <v/>
      </c>
      <c r="J28" s="198">
        <f>IFERROR(IF(VLOOKUP(C28,CB歷年最高最低價!$A:$F,5,FALSE)="H","🔴新高",IF(VLOOKUP(C28,CB歷年最高最低價!$A:$F,5,FALSE)="L","🟢新低",IF(VLOOKUP(C28,CB歷年最高最低價!$A:$F,5,FALSE)="HL","🔴🟢",""))),"")</f>
        <v/>
      </c>
      <c r="K28" s="199">
        <f>IFERROR(IF(VLOOKUP(C28,CB歷年最高最低價!$A:$F,6,FALSE)="","",VLOOKUP(C28,CB歷年最高最低價!$A:$F,6,FALSE)),"")</f>
        <v/>
      </c>
    </row>
    <row r="29" ht="26" customHeight="1">
      <c r="A29" s="1" t="n"/>
      <c r="B29" s="124" t="inlineStr">
        <is>
          <t>📊 平均值</t>
        </is>
      </c>
      <c r="C29" s="148" t="n"/>
      <c r="D29" s="149" t="n"/>
      <c r="E29" s="126">
        <f>IFERROR(AVERAGE(E9:E28),"")</f>
        <v/>
      </c>
      <c r="F29" s="126">
        <f>IFERROR(AVERAGE(F9:F28),"")</f>
        <v/>
      </c>
      <c r="G29" s="126">
        <f>IFERROR(AVERAGE(G9:G28),"")</f>
        <v/>
      </c>
      <c r="H29" s="127">
        <f>IFERROR(AVERAGE(H9:H28),"")</f>
        <v/>
      </c>
      <c r="I29" s="128">
        <f>IFERROR(AVERAGE(I9:I28),"")</f>
        <v/>
      </c>
      <c r="J29" s="200" t="n"/>
      <c r="K29" s="201" t="n"/>
    </row>
    <row r="30" ht="26" customHeight="1">
      <c r="A30" s="1" t="n"/>
      <c r="B30" s="129" t="inlineStr">
        <is>
          <t>🔝 歷史最高</t>
        </is>
      </c>
      <c r="C30" s="148" t="n"/>
      <c r="D30" s="149" t="n"/>
      <c r="E30" s="130">
        <f>IFERROR(MAX(E9:E28),"")</f>
        <v/>
      </c>
      <c r="F30" s="130">
        <f>IFERROR(MAX(F9:F28),"")</f>
        <v/>
      </c>
      <c r="G30" s="130">
        <f>IFERROR(MAX(G9:G28),"")</f>
        <v/>
      </c>
      <c r="H30" s="131">
        <f>IFERROR(MAX(H9:H28),"")</f>
        <v/>
      </c>
      <c r="I30" s="132">
        <f>IFERROR(MAX(I9:I28),"")</f>
        <v/>
      </c>
      <c r="J30" s="202" t="n"/>
      <c r="K30" s="203" t="n"/>
    </row>
    <row r="31" ht="26" customHeight="1">
      <c r="A31" s="1" t="n"/>
      <c r="B31" s="133" t="inlineStr">
        <is>
          <t>🔻 歷史最低</t>
        </is>
      </c>
      <c r="C31" s="150" t="n"/>
      <c r="D31" s="151" t="n"/>
      <c r="E31" s="134">
        <f>IFERROR(MIN(E9:E28),"")</f>
        <v/>
      </c>
      <c r="F31" s="134">
        <f>IFERROR(MIN(F9:F28),"")</f>
        <v/>
      </c>
      <c r="G31" s="134">
        <f>IFERROR(MIN(G9:G28),"")</f>
        <v/>
      </c>
      <c r="H31" s="135">
        <f>IFERROR(MIN(H9:H28),"")</f>
        <v/>
      </c>
      <c r="I31" s="136">
        <f>IFERROR(MIN(I9:I28),"")</f>
        <v/>
      </c>
      <c r="J31" s="204" t="n"/>
      <c r="K31" s="205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29" t="inlineStr">
        <is>
          <t>📌 使用說明</t>
        </is>
      </c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30" t="inlineStr">
        <is>
          <t>1. 在上方黃色格輸入 4 碼股票代號(例如 2383 台光電、2308 台達電)</t>
        </is>
      </c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30" t="inlineStr">
        <is>
          <t>2. 系統自動列出該公司歷年發行的所有可轉債,最多 20 檔</t>
        </is>
      </c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30" t="inlineStr">
        <is>
          <t>3. 振幅(倍) = 掛牌最高 ÷ 掛牌最低,可看出該檔 CB 的歷史波動能量</t>
        </is>
      </c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30" t="inlineStr">
        <is>
          <t>4. 下方統計列自動彙總:平均、歷史最高、歷史最低</t>
        </is>
      </c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31" t="inlineStr">
        <is>
          <t>⚠️ 本工具僅供歷史資料參考,不構成任何投資建議</t>
        </is>
      </c>
      <c r="C38" s="1" t="n"/>
      <c r="D38" s="1" t="n"/>
      <c r="E38" s="1" t="n"/>
      <c r="F38" s="1" t="n"/>
      <c r="G38" s="1" t="n"/>
      <c r="H38" s="1" t="n"/>
      <c r="I3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B31:D31"/>
    <mergeCell ref="B33:I33"/>
    <mergeCell ref="B38:I38"/>
    <mergeCell ref="B34:I34"/>
    <mergeCell ref="D5:E5"/>
    <mergeCell ref="F5:G5"/>
    <mergeCell ref="B36:I36"/>
    <mergeCell ref="B37:I37"/>
    <mergeCell ref="B30:D30"/>
    <mergeCell ref="H5:I5"/>
    <mergeCell ref="B2:K2"/>
    <mergeCell ref="B29:D29"/>
    <mergeCell ref="B35:I35"/>
    <mergeCell ref="B3:K3"/>
  </mergeCells>
  <conditionalFormatting sqref="E9:E28">
    <cfRule type="colorScale" priority="1">
      <colorScale>
        <cfvo type="min"/>
        <cfvo type="max"/>
        <color rgb="00FFFFFF"/>
        <color rgb="00F8696B"/>
      </colorScale>
    </cfRule>
  </conditionalFormatting>
  <conditionalFormatting sqref="F9:F28">
    <cfRule type="colorScale" priority="2">
      <colorScale>
        <cfvo type="min"/>
        <cfvo type="max"/>
        <color rgb="0063BE7B"/>
        <color rgb="00FFFFFF"/>
      </colorScale>
    </cfRule>
  </conditionalFormatting>
  <conditionalFormatting sqref="G9:G28">
    <cfRule type="colorScale" priority="3">
      <colorScale>
        <cfvo type="min"/>
        <cfvo type="max"/>
        <color rgb="00FFFFFF"/>
        <color rgb="00FFC7CE"/>
      </colorScale>
    </cfRule>
  </conditionalFormatting>
  <conditionalFormatting sqref="H9:H28">
    <cfRule type="colorScale" priority="4">
      <colorScale>
        <cfvo type="min"/>
        <cfvo type="max"/>
        <color rgb="00FFFFFF"/>
        <color rgb="00FFC7CE"/>
      </colorScale>
    </cfRule>
  </conditionalFormatting>
  <printOptions horizontalCentered="1" verticalCentered="0"/>
  <pageMargins left="0.5" right="0.5" top="0.6" bottom="0.6" header="0.3" footer="0.3"/>
  <pageSetup orientation="portrait" paperSize="9" fitToHeight="1" fitToWidth="1"/>
  <headerFooter>
    <oddHeader>&amp;C&amp;10 &amp;K1F4E78Rex大叔投資研究室  |  CB歷年高低價一鍵查詢</oddHeader>
    <oddFooter>&amp;L&amp;9 &amp;D&amp;R&amp;9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9" customWidth="1" min="11" max="11"/>
    <col width="9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2" t="inlineStr">
        <is>
          <t>🔧 DIY 自組查詢  |  跨公司多檔 CB 並列比較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4" t="inlineStr">
        <is>
          <t>在 C 欄黃色區輸入 CB 代號,可跨公司自由組合最多 50 檔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8" customHeight="1">
      <c r="A5" s="1" t="n"/>
      <c r="B5" s="106" t="inlineStr">
        <is>
          <t>序</t>
        </is>
      </c>
      <c r="C5" s="107" t="inlineStr">
        <is>
          <t>CB代號</t>
        </is>
      </c>
      <c r="D5" s="107" t="inlineStr">
        <is>
          <t>CB名稱</t>
        </is>
      </c>
      <c r="E5" s="107" t="inlineStr">
        <is>
          <t>股票代號</t>
        </is>
      </c>
      <c r="F5" s="107" t="inlineStr">
        <is>
          <t>掛牌最高</t>
        </is>
      </c>
      <c r="G5" s="107" t="inlineStr">
        <is>
          <t>掛牌最低</t>
        </is>
      </c>
      <c r="H5" s="107" t="inlineStr">
        <is>
          <t>振幅(倍)</t>
        </is>
      </c>
      <c r="I5" s="107" t="inlineStr">
        <is>
          <t>振幅%</t>
        </is>
      </c>
      <c r="J5" s="107" t="inlineStr">
        <is>
          <t>區間(元)</t>
        </is>
      </c>
      <c r="K5" s="192" t="inlineStr">
        <is>
          <t>異動</t>
        </is>
      </c>
      <c r="L5" s="193" t="inlineStr">
        <is>
          <t>月變化</t>
        </is>
      </c>
    </row>
    <row r="6" ht="22" customHeight="1">
      <c r="A6" s="1" t="n"/>
      <c r="B6" s="109" t="n">
        <v>1</v>
      </c>
      <c r="C6" s="137" t="n">
        <v>23831</v>
      </c>
      <c r="D6" s="110">
        <f>IFERROR(VLOOKUP(C6,CB歷年最高最低價!$A:$D,2,FALSE),"")</f>
        <v/>
      </c>
      <c r="E6" s="110">
        <f>IFERROR(VLOOKUP(C6,對應表!$A:$B,2,FALSE),"")</f>
        <v/>
      </c>
      <c r="F6" s="111">
        <f>IFERROR(VLOOKUP(C6,CB歷年最高最低價!$A:$D,3,FALSE),"")</f>
        <v/>
      </c>
      <c r="G6" s="111">
        <f>IFERROR(VLOOKUP(C6,CB歷年最高最低價!$A:$D,4,FALSE),"")</f>
        <v/>
      </c>
      <c r="H6" s="111">
        <f>IFERROR(F6/G6,"")</f>
        <v/>
      </c>
      <c r="I6" s="112">
        <f>IFERROR(F6/G6-1,"")</f>
        <v/>
      </c>
      <c r="J6" s="111">
        <f>IFERROR(F6-G6,"")</f>
        <v/>
      </c>
      <c r="K6" s="194">
        <f>IFERROR(IF(VLOOKUP(C6,CB歷年最高最低價!$A:$F,5,FALSE)="H","🔴新高",IF(VLOOKUP(C6,CB歷年最高最低價!$A:$F,5,FALSE)="L","🟢新低",IF(VLOOKUP(C6,CB歷年最高最低價!$A:$F,5,FALSE)="HL","🔴🟢",""))),"")</f>
        <v/>
      </c>
      <c r="L6" s="195">
        <f>IFERROR(IF(VLOOKUP(C6,CB歷年最高最低價!$A:$F,6,FALSE)="","",VLOOKUP(C6,CB歷年最高最低價!$A:$F,6,FALSE)),"")</f>
        <v/>
      </c>
    </row>
    <row r="7" ht="22" customHeight="1">
      <c r="A7" s="1" t="n"/>
      <c r="B7" s="114" t="n">
        <v>2</v>
      </c>
      <c r="C7" s="137" t="n">
        <v>23832</v>
      </c>
      <c r="D7" s="115">
        <f>IFERROR(VLOOKUP(C7,CB歷年最高最低價!$A:$D,2,FALSE),"")</f>
        <v/>
      </c>
      <c r="E7" s="115">
        <f>IFERROR(VLOOKUP(C7,對應表!$A:$B,2,FALSE),"")</f>
        <v/>
      </c>
      <c r="F7" s="116">
        <f>IFERROR(VLOOKUP(C7,CB歷年最高最低價!$A:$D,3,FALSE),"")</f>
        <v/>
      </c>
      <c r="G7" s="116">
        <f>IFERROR(VLOOKUP(C7,CB歷年最高最低價!$A:$D,4,FALSE),"")</f>
        <v/>
      </c>
      <c r="H7" s="116">
        <f>IFERROR(F7/G7,"")</f>
        <v/>
      </c>
      <c r="I7" s="117">
        <f>IFERROR(F7/G7-1,"")</f>
        <v/>
      </c>
      <c r="J7" s="116">
        <f>IFERROR(F7-G7,"")</f>
        <v/>
      </c>
      <c r="K7" s="196">
        <f>IFERROR(IF(VLOOKUP(C7,CB歷年最高最低價!$A:$F,5,FALSE)="H","🔴新高",IF(VLOOKUP(C7,CB歷年最高最低價!$A:$F,5,FALSE)="L","🟢新低",IF(VLOOKUP(C7,CB歷年最高最低價!$A:$F,5,FALSE)="HL","🔴🟢",""))),"")</f>
        <v/>
      </c>
      <c r="L7" s="197">
        <f>IFERROR(IF(VLOOKUP(C7,CB歷年最高最低價!$A:$F,6,FALSE)="","",VLOOKUP(C7,CB歷年最高最低價!$A:$F,6,FALSE)),"")</f>
        <v/>
      </c>
    </row>
    <row r="8" ht="22" customHeight="1">
      <c r="A8" s="1" t="n"/>
      <c r="B8" s="109" t="n">
        <v>3</v>
      </c>
      <c r="C8" s="137" t="n">
        <v>23833</v>
      </c>
      <c r="D8" s="110">
        <f>IFERROR(VLOOKUP(C8,CB歷年最高最低價!$A:$D,2,FALSE),"")</f>
        <v/>
      </c>
      <c r="E8" s="110">
        <f>IFERROR(VLOOKUP(C8,對應表!$A:$B,2,FALSE),"")</f>
        <v/>
      </c>
      <c r="F8" s="111">
        <f>IFERROR(VLOOKUP(C8,CB歷年最高最低價!$A:$D,3,FALSE),"")</f>
        <v/>
      </c>
      <c r="G8" s="111">
        <f>IFERROR(VLOOKUP(C8,CB歷年最高最低價!$A:$D,4,FALSE),"")</f>
        <v/>
      </c>
      <c r="H8" s="111">
        <f>IFERROR(F8/G8,"")</f>
        <v/>
      </c>
      <c r="I8" s="112">
        <f>IFERROR(F8/G8-1,"")</f>
        <v/>
      </c>
      <c r="J8" s="111">
        <f>IFERROR(F8-G8,"")</f>
        <v/>
      </c>
      <c r="K8" s="194">
        <f>IFERROR(IF(VLOOKUP(C8,CB歷年最高最低價!$A:$F,5,FALSE)="H","🔴新高",IF(VLOOKUP(C8,CB歷年最高最低價!$A:$F,5,FALSE)="L","🟢新低",IF(VLOOKUP(C8,CB歷年最高最低價!$A:$F,5,FALSE)="HL","🔴🟢",""))),"")</f>
        <v/>
      </c>
      <c r="L8" s="195">
        <f>IFERROR(IF(VLOOKUP(C8,CB歷年最高最低價!$A:$F,6,FALSE)="","",VLOOKUP(C8,CB歷年最高最低價!$A:$F,6,FALSE)),"")</f>
        <v/>
      </c>
    </row>
    <row r="9" ht="22" customHeight="1">
      <c r="A9" s="1" t="n"/>
      <c r="B9" s="114" t="n">
        <v>4</v>
      </c>
      <c r="C9" s="137" t="n">
        <v>23834</v>
      </c>
      <c r="D9" s="115">
        <f>IFERROR(VLOOKUP(C9,CB歷年最高最低價!$A:$D,2,FALSE),"")</f>
        <v/>
      </c>
      <c r="E9" s="115">
        <f>IFERROR(VLOOKUP(C9,對應表!$A:$B,2,FALSE),"")</f>
        <v/>
      </c>
      <c r="F9" s="116">
        <f>IFERROR(VLOOKUP(C9,CB歷年最高最低價!$A:$D,3,FALSE),"")</f>
        <v/>
      </c>
      <c r="G9" s="116">
        <f>IFERROR(VLOOKUP(C9,CB歷年最高最低價!$A:$D,4,FALSE),"")</f>
        <v/>
      </c>
      <c r="H9" s="116">
        <f>IFERROR(F9/G9,"")</f>
        <v/>
      </c>
      <c r="I9" s="117">
        <f>IFERROR(F9/G9-1,"")</f>
        <v/>
      </c>
      <c r="J9" s="116">
        <f>IFERROR(F9-G9,"")</f>
        <v/>
      </c>
      <c r="K9" s="196">
        <f>IFERROR(IF(VLOOKUP(C9,CB歷年最高最低價!$A:$F,5,FALSE)="H","🔴新高",IF(VLOOKUP(C9,CB歷年最高最低價!$A:$F,5,FALSE)="L","🟢新低",IF(VLOOKUP(C9,CB歷年最高最低價!$A:$F,5,FALSE)="HL","🔴🟢",""))),"")</f>
        <v/>
      </c>
      <c r="L9" s="197">
        <f>IFERROR(IF(VLOOKUP(C9,CB歷年最高最低價!$A:$F,6,FALSE)="","",VLOOKUP(C9,CB歷年最高最低價!$A:$F,6,FALSE)),"")</f>
        <v/>
      </c>
    </row>
    <row r="10" ht="22" customHeight="1">
      <c r="A10" s="1" t="n"/>
      <c r="B10" s="109" t="n">
        <v>5</v>
      </c>
      <c r="C10" s="137" t="n">
        <v>23835</v>
      </c>
      <c r="D10" s="110">
        <f>IFERROR(VLOOKUP(C10,CB歷年最高最低價!$A:$D,2,FALSE),"")</f>
        <v/>
      </c>
      <c r="E10" s="110">
        <f>IFERROR(VLOOKUP(C10,對應表!$A:$B,2,FALSE),"")</f>
        <v/>
      </c>
      <c r="F10" s="111">
        <f>IFERROR(VLOOKUP(C10,CB歷年最高最低價!$A:$D,3,FALSE),"")</f>
        <v/>
      </c>
      <c r="G10" s="111">
        <f>IFERROR(VLOOKUP(C10,CB歷年最高最低價!$A:$D,4,FALSE),"")</f>
        <v/>
      </c>
      <c r="H10" s="111">
        <f>IFERROR(F10/G10,"")</f>
        <v/>
      </c>
      <c r="I10" s="112">
        <f>IFERROR(F10/G10-1,"")</f>
        <v/>
      </c>
      <c r="J10" s="111">
        <f>IFERROR(F10-G10,"")</f>
        <v/>
      </c>
      <c r="K10" s="194">
        <f>IFERROR(IF(VLOOKUP(C10,CB歷年最高最低價!$A:$F,5,FALSE)="H","🔴新高",IF(VLOOKUP(C10,CB歷年最高最低價!$A:$F,5,FALSE)="L","🟢新低",IF(VLOOKUP(C10,CB歷年最高最低價!$A:$F,5,FALSE)="HL","🔴🟢",""))),"")</f>
        <v/>
      </c>
      <c r="L10" s="195">
        <f>IFERROR(IF(VLOOKUP(C10,CB歷年最高最低價!$A:$F,6,FALSE)="","",VLOOKUP(C10,CB歷年最高最低價!$A:$F,6,FALSE)),"")</f>
        <v/>
      </c>
    </row>
    <row r="11" ht="22" customHeight="1">
      <c r="A11" s="1" t="n"/>
      <c r="B11" s="114" t="n">
        <v>6</v>
      </c>
      <c r="C11" s="137" t="n">
        <v>23836</v>
      </c>
      <c r="D11" s="115">
        <f>IFERROR(VLOOKUP(C11,CB歷年最高最低價!$A:$D,2,FALSE),"")</f>
        <v/>
      </c>
      <c r="E11" s="115">
        <f>IFERROR(VLOOKUP(C11,對應表!$A:$B,2,FALSE),"")</f>
        <v/>
      </c>
      <c r="F11" s="116">
        <f>IFERROR(VLOOKUP(C11,CB歷年最高最低價!$A:$D,3,FALSE),"")</f>
        <v/>
      </c>
      <c r="G11" s="116">
        <f>IFERROR(VLOOKUP(C11,CB歷年最高最低價!$A:$D,4,FALSE),"")</f>
        <v/>
      </c>
      <c r="H11" s="116">
        <f>IFERROR(F11/G11,"")</f>
        <v/>
      </c>
      <c r="I11" s="117">
        <f>IFERROR(F11/G11-1,"")</f>
        <v/>
      </c>
      <c r="J11" s="116">
        <f>IFERROR(F11-G11,"")</f>
        <v/>
      </c>
      <c r="K11" s="196">
        <f>IFERROR(IF(VLOOKUP(C11,CB歷年最高最低價!$A:$F,5,FALSE)="H","🔴新高",IF(VLOOKUP(C11,CB歷年最高最低價!$A:$F,5,FALSE)="L","🟢新低",IF(VLOOKUP(C11,CB歷年最高最低價!$A:$F,5,FALSE)="HL","🔴🟢",""))),"")</f>
        <v/>
      </c>
      <c r="L11" s="197">
        <f>IFERROR(IF(VLOOKUP(C11,CB歷年最高最低價!$A:$F,6,FALSE)="","",VLOOKUP(C11,CB歷年最高最低價!$A:$F,6,FALSE)),"")</f>
        <v/>
      </c>
    </row>
    <row r="12" ht="22" customHeight="1">
      <c r="A12" s="1" t="n"/>
      <c r="B12" s="109" t="n">
        <v>7</v>
      </c>
      <c r="C12" s="137" t="n">
        <v>23837</v>
      </c>
      <c r="D12" s="110">
        <f>IFERROR(VLOOKUP(C12,CB歷年最高最低價!$A:$D,2,FALSE),"")</f>
        <v/>
      </c>
      <c r="E12" s="110">
        <f>IFERROR(VLOOKUP(C12,對應表!$A:$B,2,FALSE),"")</f>
        <v/>
      </c>
      <c r="F12" s="111">
        <f>IFERROR(VLOOKUP(C12,CB歷年最高最低價!$A:$D,3,FALSE),"")</f>
        <v/>
      </c>
      <c r="G12" s="111">
        <f>IFERROR(VLOOKUP(C12,CB歷年最高最低價!$A:$D,4,FALSE),"")</f>
        <v/>
      </c>
      <c r="H12" s="111">
        <f>IFERROR(F12/G12,"")</f>
        <v/>
      </c>
      <c r="I12" s="112">
        <f>IFERROR(F12/G12-1,"")</f>
        <v/>
      </c>
      <c r="J12" s="111">
        <f>IFERROR(F12-G12,"")</f>
        <v/>
      </c>
      <c r="K12" s="194">
        <f>IFERROR(IF(VLOOKUP(C12,CB歷年最高最低價!$A:$F,5,FALSE)="H","🔴新高",IF(VLOOKUP(C12,CB歷年最高最低價!$A:$F,5,FALSE)="L","🟢新低",IF(VLOOKUP(C12,CB歷年最高最低價!$A:$F,5,FALSE)="HL","🔴🟢",""))),"")</f>
        <v/>
      </c>
      <c r="L12" s="195">
        <f>IFERROR(IF(VLOOKUP(C12,CB歷年最高最低價!$A:$F,6,FALSE)="","",VLOOKUP(C12,CB歷年最高最低價!$A:$F,6,FALSE)),"")</f>
        <v/>
      </c>
    </row>
    <row r="13" ht="22" customHeight="1">
      <c r="A13" s="1" t="n"/>
      <c r="B13" s="114" t="n">
        <v>8</v>
      </c>
      <c r="C13" s="137" t="n"/>
      <c r="D13" s="115">
        <f>IFERROR(VLOOKUP(C13,CB歷年最高最低價!$A:$D,2,FALSE),"")</f>
        <v/>
      </c>
      <c r="E13" s="115">
        <f>IFERROR(VLOOKUP(C13,對應表!$A:$B,2,FALSE),"")</f>
        <v/>
      </c>
      <c r="F13" s="116">
        <f>IFERROR(VLOOKUP(C13,CB歷年最高最低價!$A:$D,3,FALSE),"")</f>
        <v/>
      </c>
      <c r="G13" s="116">
        <f>IFERROR(VLOOKUP(C13,CB歷年最高最低價!$A:$D,4,FALSE),"")</f>
        <v/>
      </c>
      <c r="H13" s="116">
        <f>IFERROR(F13/G13,"")</f>
        <v/>
      </c>
      <c r="I13" s="117">
        <f>IFERROR(F13/G13-1,"")</f>
        <v/>
      </c>
      <c r="J13" s="116">
        <f>IFERROR(F13-G13,"")</f>
        <v/>
      </c>
      <c r="K13" s="196">
        <f>IFERROR(IF(VLOOKUP(C13,CB歷年最高最低價!$A:$F,5,FALSE)="H","🔴新高",IF(VLOOKUP(C13,CB歷年最高最低價!$A:$F,5,FALSE)="L","🟢新低",IF(VLOOKUP(C13,CB歷年最高最低價!$A:$F,5,FALSE)="HL","🔴🟢",""))),"")</f>
        <v/>
      </c>
      <c r="L13" s="197">
        <f>IFERROR(IF(VLOOKUP(C13,CB歷年最高最低價!$A:$F,6,FALSE)="","",VLOOKUP(C13,CB歷年最高最低價!$A:$F,6,FALSE)),"")</f>
        <v/>
      </c>
    </row>
    <row r="14" ht="22" customHeight="1">
      <c r="A14" s="1" t="n"/>
      <c r="B14" s="109" t="n">
        <v>9</v>
      </c>
      <c r="C14" s="137" t="n"/>
      <c r="D14" s="110">
        <f>IFERROR(VLOOKUP(C14,CB歷年最高最低價!$A:$D,2,FALSE),"")</f>
        <v/>
      </c>
      <c r="E14" s="110">
        <f>IFERROR(VLOOKUP(C14,對應表!$A:$B,2,FALSE),"")</f>
        <v/>
      </c>
      <c r="F14" s="111">
        <f>IFERROR(VLOOKUP(C14,CB歷年最高最低價!$A:$D,3,FALSE),"")</f>
        <v/>
      </c>
      <c r="G14" s="111">
        <f>IFERROR(VLOOKUP(C14,CB歷年最高最低價!$A:$D,4,FALSE),"")</f>
        <v/>
      </c>
      <c r="H14" s="111">
        <f>IFERROR(F14/G14,"")</f>
        <v/>
      </c>
      <c r="I14" s="112">
        <f>IFERROR(F14/G14-1,"")</f>
        <v/>
      </c>
      <c r="J14" s="111">
        <f>IFERROR(F14-G14,"")</f>
        <v/>
      </c>
      <c r="K14" s="194">
        <f>IFERROR(IF(VLOOKUP(C14,CB歷年最高最低價!$A:$F,5,FALSE)="H","🔴新高",IF(VLOOKUP(C14,CB歷年最高最低價!$A:$F,5,FALSE)="L","🟢新低",IF(VLOOKUP(C14,CB歷年最高最低價!$A:$F,5,FALSE)="HL","🔴🟢",""))),"")</f>
        <v/>
      </c>
      <c r="L14" s="195">
        <f>IFERROR(IF(VLOOKUP(C14,CB歷年最高最低價!$A:$F,6,FALSE)="","",VLOOKUP(C14,CB歷年最高最低價!$A:$F,6,FALSE)),"")</f>
        <v/>
      </c>
    </row>
    <row r="15" ht="22" customHeight="1">
      <c r="A15" s="1" t="n"/>
      <c r="B15" s="114" t="n">
        <v>10</v>
      </c>
      <c r="C15" s="137" t="n"/>
      <c r="D15" s="115">
        <f>IFERROR(VLOOKUP(C15,CB歷年最高最低價!$A:$D,2,FALSE),"")</f>
        <v/>
      </c>
      <c r="E15" s="115">
        <f>IFERROR(VLOOKUP(C15,對應表!$A:$B,2,FALSE),"")</f>
        <v/>
      </c>
      <c r="F15" s="116">
        <f>IFERROR(VLOOKUP(C15,CB歷年最高最低價!$A:$D,3,FALSE),"")</f>
        <v/>
      </c>
      <c r="G15" s="116">
        <f>IFERROR(VLOOKUP(C15,CB歷年最高最低價!$A:$D,4,FALSE),"")</f>
        <v/>
      </c>
      <c r="H15" s="116">
        <f>IFERROR(F15/G15,"")</f>
        <v/>
      </c>
      <c r="I15" s="117">
        <f>IFERROR(F15/G15-1,"")</f>
        <v/>
      </c>
      <c r="J15" s="116">
        <f>IFERROR(F15-G15,"")</f>
        <v/>
      </c>
      <c r="K15" s="196">
        <f>IFERROR(IF(VLOOKUP(C15,CB歷年最高最低價!$A:$F,5,FALSE)="H","🔴新高",IF(VLOOKUP(C15,CB歷年最高最低價!$A:$F,5,FALSE)="L","🟢新低",IF(VLOOKUP(C15,CB歷年最高最低價!$A:$F,5,FALSE)="HL","🔴🟢",""))),"")</f>
        <v/>
      </c>
      <c r="L15" s="197">
        <f>IFERROR(IF(VLOOKUP(C15,CB歷年最高最低價!$A:$F,6,FALSE)="","",VLOOKUP(C15,CB歷年最高最低價!$A:$F,6,FALSE)),"")</f>
        <v/>
      </c>
    </row>
    <row r="16" ht="22" customHeight="1">
      <c r="A16" s="1" t="n"/>
      <c r="B16" s="109" t="n">
        <v>11</v>
      </c>
      <c r="C16" s="137" t="n"/>
      <c r="D16" s="110">
        <f>IFERROR(VLOOKUP(C16,CB歷年最高最低價!$A:$D,2,FALSE),"")</f>
        <v/>
      </c>
      <c r="E16" s="110">
        <f>IFERROR(VLOOKUP(C16,對應表!$A:$B,2,FALSE),"")</f>
        <v/>
      </c>
      <c r="F16" s="111">
        <f>IFERROR(VLOOKUP(C16,CB歷年最高最低價!$A:$D,3,FALSE),"")</f>
        <v/>
      </c>
      <c r="G16" s="111">
        <f>IFERROR(VLOOKUP(C16,CB歷年最高最低價!$A:$D,4,FALSE),"")</f>
        <v/>
      </c>
      <c r="H16" s="111">
        <f>IFERROR(F16/G16,"")</f>
        <v/>
      </c>
      <c r="I16" s="112">
        <f>IFERROR(F16/G16-1,"")</f>
        <v/>
      </c>
      <c r="J16" s="111">
        <f>IFERROR(F16-G16,"")</f>
        <v/>
      </c>
      <c r="K16" s="194">
        <f>IFERROR(IF(VLOOKUP(C16,CB歷年最高最低價!$A:$F,5,FALSE)="H","🔴新高",IF(VLOOKUP(C16,CB歷年最高最低價!$A:$F,5,FALSE)="L","🟢新低",IF(VLOOKUP(C16,CB歷年最高最低價!$A:$F,5,FALSE)="HL","🔴🟢",""))),"")</f>
        <v/>
      </c>
      <c r="L16" s="195">
        <f>IFERROR(IF(VLOOKUP(C16,CB歷年最高最低價!$A:$F,6,FALSE)="","",VLOOKUP(C16,CB歷年最高最低價!$A:$F,6,FALSE)),"")</f>
        <v/>
      </c>
    </row>
    <row r="17" ht="22" customHeight="1">
      <c r="A17" s="1" t="n"/>
      <c r="B17" s="114" t="n">
        <v>12</v>
      </c>
      <c r="C17" s="137" t="n"/>
      <c r="D17" s="115">
        <f>IFERROR(VLOOKUP(C17,CB歷年最高最低價!$A:$D,2,FALSE),"")</f>
        <v/>
      </c>
      <c r="E17" s="115">
        <f>IFERROR(VLOOKUP(C17,對應表!$A:$B,2,FALSE),"")</f>
        <v/>
      </c>
      <c r="F17" s="116">
        <f>IFERROR(VLOOKUP(C17,CB歷年最高最低價!$A:$D,3,FALSE),"")</f>
        <v/>
      </c>
      <c r="G17" s="116">
        <f>IFERROR(VLOOKUP(C17,CB歷年最高最低價!$A:$D,4,FALSE),"")</f>
        <v/>
      </c>
      <c r="H17" s="116">
        <f>IFERROR(F17/G17,"")</f>
        <v/>
      </c>
      <c r="I17" s="117">
        <f>IFERROR(F17/G17-1,"")</f>
        <v/>
      </c>
      <c r="J17" s="116">
        <f>IFERROR(F17-G17,"")</f>
        <v/>
      </c>
      <c r="K17" s="196">
        <f>IFERROR(IF(VLOOKUP(C17,CB歷年最高最低價!$A:$F,5,FALSE)="H","🔴新高",IF(VLOOKUP(C17,CB歷年最高最低價!$A:$F,5,FALSE)="L","🟢新低",IF(VLOOKUP(C17,CB歷年最高最低價!$A:$F,5,FALSE)="HL","🔴🟢",""))),"")</f>
        <v/>
      </c>
      <c r="L17" s="197">
        <f>IFERROR(IF(VLOOKUP(C17,CB歷年最高最低價!$A:$F,6,FALSE)="","",VLOOKUP(C17,CB歷年最高最低價!$A:$F,6,FALSE)),"")</f>
        <v/>
      </c>
    </row>
    <row r="18" ht="22" customHeight="1">
      <c r="A18" s="1" t="n"/>
      <c r="B18" s="109" t="n">
        <v>13</v>
      </c>
      <c r="C18" s="137" t="n"/>
      <c r="D18" s="110">
        <f>IFERROR(VLOOKUP(C18,CB歷年最高最低價!$A:$D,2,FALSE),"")</f>
        <v/>
      </c>
      <c r="E18" s="110">
        <f>IFERROR(VLOOKUP(C18,對應表!$A:$B,2,FALSE),"")</f>
        <v/>
      </c>
      <c r="F18" s="111">
        <f>IFERROR(VLOOKUP(C18,CB歷年最高最低價!$A:$D,3,FALSE),"")</f>
        <v/>
      </c>
      <c r="G18" s="111">
        <f>IFERROR(VLOOKUP(C18,CB歷年最高最低價!$A:$D,4,FALSE),"")</f>
        <v/>
      </c>
      <c r="H18" s="111">
        <f>IFERROR(F18/G18,"")</f>
        <v/>
      </c>
      <c r="I18" s="112">
        <f>IFERROR(F18/G18-1,"")</f>
        <v/>
      </c>
      <c r="J18" s="111">
        <f>IFERROR(F18-G18,"")</f>
        <v/>
      </c>
      <c r="K18" s="194">
        <f>IFERROR(IF(VLOOKUP(C18,CB歷年最高最低價!$A:$F,5,FALSE)="H","🔴新高",IF(VLOOKUP(C18,CB歷年最高最低價!$A:$F,5,FALSE)="L","🟢新低",IF(VLOOKUP(C18,CB歷年最高最低價!$A:$F,5,FALSE)="HL","🔴🟢",""))),"")</f>
        <v/>
      </c>
      <c r="L18" s="195">
        <f>IFERROR(IF(VLOOKUP(C18,CB歷年最高最低價!$A:$F,6,FALSE)="","",VLOOKUP(C18,CB歷年最高最低價!$A:$F,6,FALSE)),"")</f>
        <v/>
      </c>
    </row>
    <row r="19" ht="22" customHeight="1">
      <c r="A19" s="1" t="n"/>
      <c r="B19" s="114" t="n">
        <v>14</v>
      </c>
      <c r="C19" s="137" t="n"/>
      <c r="D19" s="115">
        <f>IFERROR(VLOOKUP(C19,CB歷年最高最低價!$A:$D,2,FALSE),"")</f>
        <v/>
      </c>
      <c r="E19" s="115">
        <f>IFERROR(VLOOKUP(C19,對應表!$A:$B,2,FALSE),"")</f>
        <v/>
      </c>
      <c r="F19" s="116">
        <f>IFERROR(VLOOKUP(C19,CB歷年最高最低價!$A:$D,3,FALSE),"")</f>
        <v/>
      </c>
      <c r="G19" s="116">
        <f>IFERROR(VLOOKUP(C19,CB歷年最高最低價!$A:$D,4,FALSE),"")</f>
        <v/>
      </c>
      <c r="H19" s="116">
        <f>IFERROR(F19/G19,"")</f>
        <v/>
      </c>
      <c r="I19" s="117">
        <f>IFERROR(F19/G19-1,"")</f>
        <v/>
      </c>
      <c r="J19" s="116">
        <f>IFERROR(F19-G19,"")</f>
        <v/>
      </c>
      <c r="K19" s="196">
        <f>IFERROR(IF(VLOOKUP(C19,CB歷年最高最低價!$A:$F,5,FALSE)="H","🔴新高",IF(VLOOKUP(C19,CB歷年最高最低價!$A:$F,5,FALSE)="L","🟢新低",IF(VLOOKUP(C19,CB歷年最高最低價!$A:$F,5,FALSE)="HL","🔴🟢",""))),"")</f>
        <v/>
      </c>
      <c r="L19" s="197">
        <f>IFERROR(IF(VLOOKUP(C19,CB歷年最高最低價!$A:$F,6,FALSE)="","",VLOOKUP(C19,CB歷年最高最低價!$A:$F,6,FALSE)),"")</f>
        <v/>
      </c>
    </row>
    <row r="20" ht="22" customHeight="1">
      <c r="A20" s="1" t="n"/>
      <c r="B20" s="109" t="n">
        <v>15</v>
      </c>
      <c r="C20" s="137" t="n"/>
      <c r="D20" s="110">
        <f>IFERROR(VLOOKUP(C20,CB歷年最高最低價!$A:$D,2,FALSE),"")</f>
        <v/>
      </c>
      <c r="E20" s="110">
        <f>IFERROR(VLOOKUP(C20,對應表!$A:$B,2,FALSE),"")</f>
        <v/>
      </c>
      <c r="F20" s="111">
        <f>IFERROR(VLOOKUP(C20,CB歷年最高最低價!$A:$D,3,FALSE),"")</f>
        <v/>
      </c>
      <c r="G20" s="111">
        <f>IFERROR(VLOOKUP(C20,CB歷年最高最低價!$A:$D,4,FALSE),"")</f>
        <v/>
      </c>
      <c r="H20" s="111">
        <f>IFERROR(F20/G20,"")</f>
        <v/>
      </c>
      <c r="I20" s="112">
        <f>IFERROR(F20/G20-1,"")</f>
        <v/>
      </c>
      <c r="J20" s="111">
        <f>IFERROR(F20-G20,"")</f>
        <v/>
      </c>
      <c r="K20" s="194">
        <f>IFERROR(IF(VLOOKUP(C20,CB歷年最高最低價!$A:$F,5,FALSE)="H","🔴新高",IF(VLOOKUP(C20,CB歷年最高最低價!$A:$F,5,FALSE)="L","🟢新低",IF(VLOOKUP(C20,CB歷年最高最低價!$A:$F,5,FALSE)="HL","🔴🟢",""))),"")</f>
        <v/>
      </c>
      <c r="L20" s="195">
        <f>IFERROR(IF(VLOOKUP(C20,CB歷年最高最低價!$A:$F,6,FALSE)="","",VLOOKUP(C20,CB歷年最高最低價!$A:$F,6,FALSE)),"")</f>
        <v/>
      </c>
    </row>
    <row r="21" ht="22" customHeight="1">
      <c r="A21" s="1" t="n"/>
      <c r="B21" s="114" t="n">
        <v>16</v>
      </c>
      <c r="C21" s="137" t="n"/>
      <c r="D21" s="115">
        <f>IFERROR(VLOOKUP(C21,CB歷年最高最低價!$A:$D,2,FALSE),"")</f>
        <v/>
      </c>
      <c r="E21" s="115">
        <f>IFERROR(VLOOKUP(C21,對應表!$A:$B,2,FALSE),"")</f>
        <v/>
      </c>
      <c r="F21" s="116">
        <f>IFERROR(VLOOKUP(C21,CB歷年最高最低價!$A:$D,3,FALSE),"")</f>
        <v/>
      </c>
      <c r="G21" s="116">
        <f>IFERROR(VLOOKUP(C21,CB歷年最高最低價!$A:$D,4,FALSE),"")</f>
        <v/>
      </c>
      <c r="H21" s="116">
        <f>IFERROR(F21/G21,"")</f>
        <v/>
      </c>
      <c r="I21" s="117">
        <f>IFERROR(F21/G21-1,"")</f>
        <v/>
      </c>
      <c r="J21" s="116">
        <f>IFERROR(F21-G21,"")</f>
        <v/>
      </c>
      <c r="K21" s="196">
        <f>IFERROR(IF(VLOOKUP(C21,CB歷年最高最低價!$A:$F,5,FALSE)="H","🔴新高",IF(VLOOKUP(C21,CB歷年最高最低價!$A:$F,5,FALSE)="L","🟢新低",IF(VLOOKUP(C21,CB歷年最高最低價!$A:$F,5,FALSE)="HL","🔴🟢",""))),"")</f>
        <v/>
      </c>
      <c r="L21" s="197">
        <f>IFERROR(IF(VLOOKUP(C21,CB歷年最高最低價!$A:$F,6,FALSE)="","",VLOOKUP(C21,CB歷年最高最低價!$A:$F,6,FALSE)),"")</f>
        <v/>
      </c>
    </row>
    <row r="22" ht="22" customHeight="1">
      <c r="A22" s="1" t="n"/>
      <c r="B22" s="109" t="n">
        <v>17</v>
      </c>
      <c r="C22" s="137" t="n"/>
      <c r="D22" s="110">
        <f>IFERROR(VLOOKUP(C22,CB歷年最高最低價!$A:$D,2,FALSE),"")</f>
        <v/>
      </c>
      <c r="E22" s="110">
        <f>IFERROR(VLOOKUP(C22,對應表!$A:$B,2,FALSE),"")</f>
        <v/>
      </c>
      <c r="F22" s="111">
        <f>IFERROR(VLOOKUP(C22,CB歷年最高最低價!$A:$D,3,FALSE),"")</f>
        <v/>
      </c>
      <c r="G22" s="111">
        <f>IFERROR(VLOOKUP(C22,CB歷年最高最低價!$A:$D,4,FALSE),"")</f>
        <v/>
      </c>
      <c r="H22" s="111">
        <f>IFERROR(F22/G22,"")</f>
        <v/>
      </c>
      <c r="I22" s="112">
        <f>IFERROR(F22/G22-1,"")</f>
        <v/>
      </c>
      <c r="J22" s="111">
        <f>IFERROR(F22-G22,"")</f>
        <v/>
      </c>
      <c r="K22" s="194">
        <f>IFERROR(IF(VLOOKUP(C22,CB歷年最高最低價!$A:$F,5,FALSE)="H","🔴新高",IF(VLOOKUP(C22,CB歷年最高最低價!$A:$F,5,FALSE)="L","🟢新低",IF(VLOOKUP(C22,CB歷年最高最低價!$A:$F,5,FALSE)="HL","🔴🟢",""))),"")</f>
        <v/>
      </c>
      <c r="L22" s="195">
        <f>IFERROR(IF(VLOOKUP(C22,CB歷年最高最低價!$A:$F,6,FALSE)="","",VLOOKUP(C22,CB歷年最高最低價!$A:$F,6,FALSE)),"")</f>
        <v/>
      </c>
    </row>
    <row r="23" ht="22" customHeight="1">
      <c r="A23" s="1" t="n"/>
      <c r="B23" s="114" t="n">
        <v>18</v>
      </c>
      <c r="C23" s="137" t="n"/>
      <c r="D23" s="115">
        <f>IFERROR(VLOOKUP(C23,CB歷年最高最低價!$A:$D,2,FALSE),"")</f>
        <v/>
      </c>
      <c r="E23" s="115">
        <f>IFERROR(VLOOKUP(C23,對應表!$A:$B,2,FALSE),"")</f>
        <v/>
      </c>
      <c r="F23" s="116">
        <f>IFERROR(VLOOKUP(C23,CB歷年最高最低價!$A:$D,3,FALSE),"")</f>
        <v/>
      </c>
      <c r="G23" s="116">
        <f>IFERROR(VLOOKUP(C23,CB歷年最高最低價!$A:$D,4,FALSE),"")</f>
        <v/>
      </c>
      <c r="H23" s="116">
        <f>IFERROR(F23/G23,"")</f>
        <v/>
      </c>
      <c r="I23" s="117">
        <f>IFERROR(F23/G23-1,"")</f>
        <v/>
      </c>
      <c r="J23" s="116">
        <f>IFERROR(F23-G23,"")</f>
        <v/>
      </c>
      <c r="K23" s="196">
        <f>IFERROR(IF(VLOOKUP(C23,CB歷年最高最低價!$A:$F,5,FALSE)="H","🔴新高",IF(VLOOKUP(C23,CB歷年最高最低價!$A:$F,5,FALSE)="L","🟢新低",IF(VLOOKUP(C23,CB歷年最高最低價!$A:$F,5,FALSE)="HL","🔴🟢",""))),"")</f>
        <v/>
      </c>
      <c r="L23" s="197">
        <f>IFERROR(IF(VLOOKUP(C23,CB歷年最高最低價!$A:$F,6,FALSE)="","",VLOOKUP(C23,CB歷年最高最低價!$A:$F,6,FALSE)),"")</f>
        <v/>
      </c>
    </row>
    <row r="24" ht="22" customHeight="1">
      <c r="A24" s="1" t="n"/>
      <c r="B24" s="109" t="n">
        <v>19</v>
      </c>
      <c r="C24" s="137" t="n"/>
      <c r="D24" s="110">
        <f>IFERROR(VLOOKUP(C24,CB歷年最高最低價!$A:$D,2,FALSE),"")</f>
        <v/>
      </c>
      <c r="E24" s="110">
        <f>IFERROR(VLOOKUP(C24,對應表!$A:$B,2,FALSE),"")</f>
        <v/>
      </c>
      <c r="F24" s="111">
        <f>IFERROR(VLOOKUP(C24,CB歷年最高最低價!$A:$D,3,FALSE),"")</f>
        <v/>
      </c>
      <c r="G24" s="111">
        <f>IFERROR(VLOOKUP(C24,CB歷年最高最低價!$A:$D,4,FALSE),"")</f>
        <v/>
      </c>
      <c r="H24" s="111">
        <f>IFERROR(F24/G24,"")</f>
        <v/>
      </c>
      <c r="I24" s="112">
        <f>IFERROR(F24/G24-1,"")</f>
        <v/>
      </c>
      <c r="J24" s="111">
        <f>IFERROR(F24-G24,"")</f>
        <v/>
      </c>
      <c r="K24" s="194">
        <f>IFERROR(IF(VLOOKUP(C24,CB歷年最高最低價!$A:$F,5,FALSE)="H","🔴新高",IF(VLOOKUP(C24,CB歷年最高最低價!$A:$F,5,FALSE)="L","🟢新低",IF(VLOOKUP(C24,CB歷年最高最低價!$A:$F,5,FALSE)="HL","🔴🟢",""))),"")</f>
        <v/>
      </c>
      <c r="L24" s="195">
        <f>IFERROR(IF(VLOOKUP(C24,CB歷年最高最低價!$A:$F,6,FALSE)="","",VLOOKUP(C24,CB歷年最高最低價!$A:$F,6,FALSE)),"")</f>
        <v/>
      </c>
    </row>
    <row r="25" ht="22" customHeight="1">
      <c r="A25" s="1" t="n"/>
      <c r="B25" s="114" t="n">
        <v>20</v>
      </c>
      <c r="C25" s="137" t="n"/>
      <c r="D25" s="115">
        <f>IFERROR(VLOOKUP(C25,CB歷年最高最低價!$A:$D,2,FALSE),"")</f>
        <v/>
      </c>
      <c r="E25" s="115">
        <f>IFERROR(VLOOKUP(C25,對應表!$A:$B,2,FALSE),"")</f>
        <v/>
      </c>
      <c r="F25" s="116">
        <f>IFERROR(VLOOKUP(C25,CB歷年最高最低價!$A:$D,3,FALSE),"")</f>
        <v/>
      </c>
      <c r="G25" s="116">
        <f>IFERROR(VLOOKUP(C25,CB歷年最高最低價!$A:$D,4,FALSE),"")</f>
        <v/>
      </c>
      <c r="H25" s="116">
        <f>IFERROR(F25/G25,"")</f>
        <v/>
      </c>
      <c r="I25" s="117">
        <f>IFERROR(F25/G25-1,"")</f>
        <v/>
      </c>
      <c r="J25" s="116">
        <f>IFERROR(F25-G25,"")</f>
        <v/>
      </c>
      <c r="K25" s="196">
        <f>IFERROR(IF(VLOOKUP(C25,CB歷年最高最低價!$A:$F,5,FALSE)="H","🔴新高",IF(VLOOKUP(C25,CB歷年最高最低價!$A:$F,5,FALSE)="L","🟢新低",IF(VLOOKUP(C25,CB歷年最高最低價!$A:$F,5,FALSE)="HL","🔴🟢",""))),"")</f>
        <v/>
      </c>
      <c r="L25" s="197">
        <f>IFERROR(IF(VLOOKUP(C25,CB歷年最高最低價!$A:$F,6,FALSE)="","",VLOOKUP(C25,CB歷年最高最低價!$A:$F,6,FALSE)),"")</f>
        <v/>
      </c>
    </row>
    <row r="26" ht="22" customHeight="1">
      <c r="A26" s="1" t="n"/>
      <c r="B26" s="109" t="n">
        <v>21</v>
      </c>
      <c r="C26" s="137" t="n"/>
      <c r="D26" s="110">
        <f>IFERROR(VLOOKUP(C26,CB歷年最高最低價!$A:$D,2,FALSE),"")</f>
        <v/>
      </c>
      <c r="E26" s="110">
        <f>IFERROR(VLOOKUP(C26,對應表!$A:$B,2,FALSE),"")</f>
        <v/>
      </c>
      <c r="F26" s="111">
        <f>IFERROR(VLOOKUP(C26,CB歷年最高最低價!$A:$D,3,FALSE),"")</f>
        <v/>
      </c>
      <c r="G26" s="111">
        <f>IFERROR(VLOOKUP(C26,CB歷年最高最低價!$A:$D,4,FALSE),"")</f>
        <v/>
      </c>
      <c r="H26" s="111">
        <f>IFERROR(F26/G26,"")</f>
        <v/>
      </c>
      <c r="I26" s="112">
        <f>IFERROR(F26/G26-1,"")</f>
        <v/>
      </c>
      <c r="J26" s="111">
        <f>IFERROR(F26-G26,"")</f>
        <v/>
      </c>
      <c r="K26" s="194">
        <f>IFERROR(IF(VLOOKUP(C26,CB歷年最高最低價!$A:$F,5,FALSE)="H","🔴新高",IF(VLOOKUP(C26,CB歷年最高最低價!$A:$F,5,FALSE)="L","🟢新低",IF(VLOOKUP(C26,CB歷年最高最低價!$A:$F,5,FALSE)="HL","🔴🟢",""))),"")</f>
        <v/>
      </c>
      <c r="L26" s="195">
        <f>IFERROR(IF(VLOOKUP(C26,CB歷年最高最低價!$A:$F,6,FALSE)="","",VLOOKUP(C26,CB歷年最高最低價!$A:$F,6,FALSE)),"")</f>
        <v/>
      </c>
    </row>
    <row r="27" ht="22" customHeight="1">
      <c r="A27" s="1" t="n"/>
      <c r="B27" s="114" t="n">
        <v>22</v>
      </c>
      <c r="C27" s="137" t="n"/>
      <c r="D27" s="115">
        <f>IFERROR(VLOOKUP(C27,CB歷年最高最低價!$A:$D,2,FALSE),"")</f>
        <v/>
      </c>
      <c r="E27" s="115">
        <f>IFERROR(VLOOKUP(C27,對應表!$A:$B,2,FALSE),"")</f>
        <v/>
      </c>
      <c r="F27" s="116">
        <f>IFERROR(VLOOKUP(C27,CB歷年最高最低價!$A:$D,3,FALSE),"")</f>
        <v/>
      </c>
      <c r="G27" s="116">
        <f>IFERROR(VLOOKUP(C27,CB歷年最高最低價!$A:$D,4,FALSE),"")</f>
        <v/>
      </c>
      <c r="H27" s="116">
        <f>IFERROR(F27/G27,"")</f>
        <v/>
      </c>
      <c r="I27" s="117">
        <f>IFERROR(F27/G27-1,"")</f>
        <v/>
      </c>
      <c r="J27" s="116">
        <f>IFERROR(F27-G27,"")</f>
        <v/>
      </c>
      <c r="K27" s="196">
        <f>IFERROR(IF(VLOOKUP(C27,CB歷年最高最低價!$A:$F,5,FALSE)="H","🔴新高",IF(VLOOKUP(C27,CB歷年最高最低價!$A:$F,5,FALSE)="L","🟢新低",IF(VLOOKUP(C27,CB歷年最高最低價!$A:$F,5,FALSE)="HL","🔴🟢",""))),"")</f>
        <v/>
      </c>
      <c r="L27" s="197">
        <f>IFERROR(IF(VLOOKUP(C27,CB歷年最高最低價!$A:$F,6,FALSE)="","",VLOOKUP(C27,CB歷年最高最低價!$A:$F,6,FALSE)),"")</f>
        <v/>
      </c>
    </row>
    <row r="28" ht="22" customHeight="1">
      <c r="A28" s="1" t="n"/>
      <c r="B28" s="109" t="n">
        <v>23</v>
      </c>
      <c r="C28" s="137" t="n"/>
      <c r="D28" s="110">
        <f>IFERROR(VLOOKUP(C28,CB歷年最高最低價!$A:$D,2,FALSE),"")</f>
        <v/>
      </c>
      <c r="E28" s="110">
        <f>IFERROR(VLOOKUP(C28,對應表!$A:$B,2,FALSE),"")</f>
        <v/>
      </c>
      <c r="F28" s="111">
        <f>IFERROR(VLOOKUP(C28,CB歷年最高最低價!$A:$D,3,FALSE),"")</f>
        <v/>
      </c>
      <c r="G28" s="111">
        <f>IFERROR(VLOOKUP(C28,CB歷年最高最低價!$A:$D,4,FALSE),"")</f>
        <v/>
      </c>
      <c r="H28" s="111">
        <f>IFERROR(F28/G28,"")</f>
        <v/>
      </c>
      <c r="I28" s="112">
        <f>IFERROR(F28/G28-1,"")</f>
        <v/>
      </c>
      <c r="J28" s="111">
        <f>IFERROR(F28-G28,"")</f>
        <v/>
      </c>
      <c r="K28" s="194">
        <f>IFERROR(IF(VLOOKUP(C28,CB歷年最高最低價!$A:$F,5,FALSE)="H","🔴新高",IF(VLOOKUP(C28,CB歷年最高最低價!$A:$F,5,FALSE)="L","🟢新低",IF(VLOOKUP(C28,CB歷年最高最低價!$A:$F,5,FALSE)="HL","🔴🟢",""))),"")</f>
        <v/>
      </c>
      <c r="L28" s="195">
        <f>IFERROR(IF(VLOOKUP(C28,CB歷年最高最低價!$A:$F,6,FALSE)="","",VLOOKUP(C28,CB歷年最高最低價!$A:$F,6,FALSE)),"")</f>
        <v/>
      </c>
    </row>
    <row r="29" ht="22" customHeight="1">
      <c r="A29" s="1" t="n"/>
      <c r="B29" s="114" t="n">
        <v>24</v>
      </c>
      <c r="C29" s="137" t="n"/>
      <c r="D29" s="115">
        <f>IFERROR(VLOOKUP(C29,CB歷年最高最低價!$A:$D,2,FALSE),"")</f>
        <v/>
      </c>
      <c r="E29" s="115">
        <f>IFERROR(VLOOKUP(C29,對應表!$A:$B,2,FALSE),"")</f>
        <v/>
      </c>
      <c r="F29" s="116">
        <f>IFERROR(VLOOKUP(C29,CB歷年最高最低價!$A:$D,3,FALSE),"")</f>
        <v/>
      </c>
      <c r="G29" s="116">
        <f>IFERROR(VLOOKUP(C29,CB歷年最高最低價!$A:$D,4,FALSE),"")</f>
        <v/>
      </c>
      <c r="H29" s="116">
        <f>IFERROR(F29/G29,"")</f>
        <v/>
      </c>
      <c r="I29" s="117">
        <f>IFERROR(F29/G29-1,"")</f>
        <v/>
      </c>
      <c r="J29" s="116">
        <f>IFERROR(F29-G29,"")</f>
        <v/>
      </c>
      <c r="K29" s="196">
        <f>IFERROR(IF(VLOOKUP(C29,CB歷年最高最低價!$A:$F,5,FALSE)="H","🔴新高",IF(VLOOKUP(C29,CB歷年最高最低價!$A:$F,5,FALSE)="L","🟢新低",IF(VLOOKUP(C29,CB歷年最高最低價!$A:$F,5,FALSE)="HL","🔴🟢",""))),"")</f>
        <v/>
      </c>
      <c r="L29" s="197">
        <f>IFERROR(IF(VLOOKUP(C29,CB歷年最高最低價!$A:$F,6,FALSE)="","",VLOOKUP(C29,CB歷年最高最低價!$A:$F,6,FALSE)),"")</f>
        <v/>
      </c>
    </row>
    <row r="30" ht="22" customHeight="1">
      <c r="A30" s="1" t="n"/>
      <c r="B30" s="109" t="n">
        <v>25</v>
      </c>
      <c r="C30" s="137" t="n"/>
      <c r="D30" s="110">
        <f>IFERROR(VLOOKUP(C30,CB歷年最高最低價!$A:$D,2,FALSE),"")</f>
        <v/>
      </c>
      <c r="E30" s="110">
        <f>IFERROR(VLOOKUP(C30,對應表!$A:$B,2,FALSE),"")</f>
        <v/>
      </c>
      <c r="F30" s="111">
        <f>IFERROR(VLOOKUP(C30,CB歷年最高最低價!$A:$D,3,FALSE),"")</f>
        <v/>
      </c>
      <c r="G30" s="111">
        <f>IFERROR(VLOOKUP(C30,CB歷年最高最低價!$A:$D,4,FALSE),"")</f>
        <v/>
      </c>
      <c r="H30" s="111">
        <f>IFERROR(F30/G30,"")</f>
        <v/>
      </c>
      <c r="I30" s="112">
        <f>IFERROR(F30/G30-1,"")</f>
        <v/>
      </c>
      <c r="J30" s="111">
        <f>IFERROR(F30-G30,"")</f>
        <v/>
      </c>
      <c r="K30" s="194">
        <f>IFERROR(IF(VLOOKUP(C30,CB歷年最高最低價!$A:$F,5,FALSE)="H","🔴新高",IF(VLOOKUP(C30,CB歷年最高最低價!$A:$F,5,FALSE)="L","🟢新低",IF(VLOOKUP(C30,CB歷年最高最低價!$A:$F,5,FALSE)="HL","🔴🟢",""))),"")</f>
        <v/>
      </c>
      <c r="L30" s="195">
        <f>IFERROR(IF(VLOOKUP(C30,CB歷年最高最低價!$A:$F,6,FALSE)="","",VLOOKUP(C30,CB歷年最高最低價!$A:$F,6,FALSE)),"")</f>
        <v/>
      </c>
    </row>
    <row r="31" ht="22" customHeight="1">
      <c r="A31" s="1" t="n"/>
      <c r="B31" s="114" t="n">
        <v>26</v>
      </c>
      <c r="C31" s="137" t="n"/>
      <c r="D31" s="115">
        <f>IFERROR(VLOOKUP(C31,CB歷年最高最低價!$A:$D,2,FALSE),"")</f>
        <v/>
      </c>
      <c r="E31" s="115">
        <f>IFERROR(VLOOKUP(C31,對應表!$A:$B,2,FALSE),"")</f>
        <v/>
      </c>
      <c r="F31" s="116">
        <f>IFERROR(VLOOKUP(C31,CB歷年最高最低價!$A:$D,3,FALSE),"")</f>
        <v/>
      </c>
      <c r="G31" s="116">
        <f>IFERROR(VLOOKUP(C31,CB歷年最高最低價!$A:$D,4,FALSE),"")</f>
        <v/>
      </c>
      <c r="H31" s="116">
        <f>IFERROR(F31/G31,"")</f>
        <v/>
      </c>
      <c r="I31" s="117">
        <f>IFERROR(F31/G31-1,"")</f>
        <v/>
      </c>
      <c r="J31" s="116">
        <f>IFERROR(F31-G31,"")</f>
        <v/>
      </c>
      <c r="K31" s="196">
        <f>IFERROR(IF(VLOOKUP(C31,CB歷年最高最低價!$A:$F,5,FALSE)="H","🔴新高",IF(VLOOKUP(C31,CB歷年最高最低價!$A:$F,5,FALSE)="L","🟢新低",IF(VLOOKUP(C31,CB歷年最高最低價!$A:$F,5,FALSE)="HL","🔴🟢",""))),"")</f>
        <v/>
      </c>
      <c r="L31" s="197">
        <f>IFERROR(IF(VLOOKUP(C31,CB歷年最高最低價!$A:$F,6,FALSE)="","",VLOOKUP(C31,CB歷年最高最低價!$A:$F,6,FALSE)),"")</f>
        <v/>
      </c>
    </row>
    <row r="32" ht="22" customHeight="1">
      <c r="A32" s="1" t="n"/>
      <c r="B32" s="109" t="n">
        <v>27</v>
      </c>
      <c r="C32" s="137" t="n"/>
      <c r="D32" s="110">
        <f>IFERROR(VLOOKUP(C32,CB歷年最高最低價!$A:$D,2,FALSE),"")</f>
        <v/>
      </c>
      <c r="E32" s="110">
        <f>IFERROR(VLOOKUP(C32,對應表!$A:$B,2,FALSE),"")</f>
        <v/>
      </c>
      <c r="F32" s="111">
        <f>IFERROR(VLOOKUP(C32,CB歷年最高最低價!$A:$D,3,FALSE),"")</f>
        <v/>
      </c>
      <c r="G32" s="111">
        <f>IFERROR(VLOOKUP(C32,CB歷年最高最低價!$A:$D,4,FALSE),"")</f>
        <v/>
      </c>
      <c r="H32" s="111">
        <f>IFERROR(F32/G32,"")</f>
        <v/>
      </c>
      <c r="I32" s="112">
        <f>IFERROR(F32/G32-1,"")</f>
        <v/>
      </c>
      <c r="J32" s="111">
        <f>IFERROR(F32-G32,"")</f>
        <v/>
      </c>
      <c r="K32" s="194">
        <f>IFERROR(IF(VLOOKUP(C32,CB歷年最高最低價!$A:$F,5,FALSE)="H","🔴新高",IF(VLOOKUP(C32,CB歷年最高最低價!$A:$F,5,FALSE)="L","🟢新低",IF(VLOOKUP(C32,CB歷年最高最低價!$A:$F,5,FALSE)="HL","🔴🟢",""))),"")</f>
        <v/>
      </c>
      <c r="L32" s="195">
        <f>IFERROR(IF(VLOOKUP(C32,CB歷年最高最低價!$A:$F,6,FALSE)="","",VLOOKUP(C32,CB歷年最高最低價!$A:$F,6,FALSE)),"")</f>
        <v/>
      </c>
    </row>
    <row r="33" ht="22" customHeight="1">
      <c r="A33" s="1" t="n"/>
      <c r="B33" s="114" t="n">
        <v>28</v>
      </c>
      <c r="C33" s="137" t="n"/>
      <c r="D33" s="115">
        <f>IFERROR(VLOOKUP(C33,CB歷年最高最低價!$A:$D,2,FALSE),"")</f>
        <v/>
      </c>
      <c r="E33" s="115">
        <f>IFERROR(VLOOKUP(C33,對應表!$A:$B,2,FALSE),"")</f>
        <v/>
      </c>
      <c r="F33" s="116">
        <f>IFERROR(VLOOKUP(C33,CB歷年最高最低價!$A:$D,3,FALSE),"")</f>
        <v/>
      </c>
      <c r="G33" s="116">
        <f>IFERROR(VLOOKUP(C33,CB歷年最高最低價!$A:$D,4,FALSE),"")</f>
        <v/>
      </c>
      <c r="H33" s="116">
        <f>IFERROR(F33/G33,"")</f>
        <v/>
      </c>
      <c r="I33" s="117">
        <f>IFERROR(F33/G33-1,"")</f>
        <v/>
      </c>
      <c r="J33" s="116">
        <f>IFERROR(F33-G33,"")</f>
        <v/>
      </c>
      <c r="K33" s="196">
        <f>IFERROR(IF(VLOOKUP(C33,CB歷年最高最低價!$A:$F,5,FALSE)="H","🔴新高",IF(VLOOKUP(C33,CB歷年最高最低價!$A:$F,5,FALSE)="L","🟢新低",IF(VLOOKUP(C33,CB歷年最高最低價!$A:$F,5,FALSE)="HL","🔴🟢",""))),"")</f>
        <v/>
      </c>
      <c r="L33" s="197">
        <f>IFERROR(IF(VLOOKUP(C33,CB歷年最高最低價!$A:$F,6,FALSE)="","",VLOOKUP(C33,CB歷年最高最低價!$A:$F,6,FALSE)),"")</f>
        <v/>
      </c>
    </row>
    <row r="34" ht="22" customHeight="1">
      <c r="A34" s="1" t="n"/>
      <c r="B34" s="109" t="n">
        <v>29</v>
      </c>
      <c r="C34" s="137" t="n"/>
      <c r="D34" s="110">
        <f>IFERROR(VLOOKUP(C34,CB歷年最高最低價!$A:$D,2,FALSE),"")</f>
        <v/>
      </c>
      <c r="E34" s="110">
        <f>IFERROR(VLOOKUP(C34,對應表!$A:$B,2,FALSE),"")</f>
        <v/>
      </c>
      <c r="F34" s="111">
        <f>IFERROR(VLOOKUP(C34,CB歷年最高最低價!$A:$D,3,FALSE),"")</f>
        <v/>
      </c>
      <c r="G34" s="111">
        <f>IFERROR(VLOOKUP(C34,CB歷年最高最低價!$A:$D,4,FALSE),"")</f>
        <v/>
      </c>
      <c r="H34" s="111">
        <f>IFERROR(F34/G34,"")</f>
        <v/>
      </c>
      <c r="I34" s="112">
        <f>IFERROR(F34/G34-1,"")</f>
        <v/>
      </c>
      <c r="J34" s="111">
        <f>IFERROR(F34-G34,"")</f>
        <v/>
      </c>
      <c r="K34" s="194">
        <f>IFERROR(IF(VLOOKUP(C34,CB歷年最高最低價!$A:$F,5,FALSE)="H","🔴新高",IF(VLOOKUP(C34,CB歷年最高最低價!$A:$F,5,FALSE)="L","🟢新低",IF(VLOOKUP(C34,CB歷年最高最低價!$A:$F,5,FALSE)="HL","🔴🟢",""))),"")</f>
        <v/>
      </c>
      <c r="L34" s="195">
        <f>IFERROR(IF(VLOOKUP(C34,CB歷年最高最低價!$A:$F,6,FALSE)="","",VLOOKUP(C34,CB歷年最高最低價!$A:$F,6,FALSE)),"")</f>
        <v/>
      </c>
    </row>
    <row r="35" ht="22" customHeight="1">
      <c r="A35" s="1" t="n"/>
      <c r="B35" s="114" t="n">
        <v>30</v>
      </c>
      <c r="C35" s="137" t="n"/>
      <c r="D35" s="115">
        <f>IFERROR(VLOOKUP(C35,CB歷年最高最低價!$A:$D,2,FALSE),"")</f>
        <v/>
      </c>
      <c r="E35" s="115">
        <f>IFERROR(VLOOKUP(C35,對應表!$A:$B,2,FALSE),"")</f>
        <v/>
      </c>
      <c r="F35" s="116">
        <f>IFERROR(VLOOKUP(C35,CB歷年最高最低價!$A:$D,3,FALSE),"")</f>
        <v/>
      </c>
      <c r="G35" s="116">
        <f>IFERROR(VLOOKUP(C35,CB歷年最高最低價!$A:$D,4,FALSE),"")</f>
        <v/>
      </c>
      <c r="H35" s="116">
        <f>IFERROR(F35/G35,"")</f>
        <v/>
      </c>
      <c r="I35" s="117">
        <f>IFERROR(F35/G35-1,"")</f>
        <v/>
      </c>
      <c r="J35" s="116">
        <f>IFERROR(F35-G35,"")</f>
        <v/>
      </c>
      <c r="K35" s="196">
        <f>IFERROR(IF(VLOOKUP(C35,CB歷年最高最低價!$A:$F,5,FALSE)="H","🔴新高",IF(VLOOKUP(C35,CB歷年最高最低價!$A:$F,5,FALSE)="L","🟢新低",IF(VLOOKUP(C35,CB歷年最高最低價!$A:$F,5,FALSE)="HL","🔴🟢",""))),"")</f>
        <v/>
      </c>
      <c r="L35" s="197">
        <f>IFERROR(IF(VLOOKUP(C35,CB歷年最高最低價!$A:$F,6,FALSE)="","",VLOOKUP(C35,CB歷年最高最低價!$A:$F,6,FALSE)),"")</f>
        <v/>
      </c>
    </row>
    <row r="36" ht="22" customHeight="1">
      <c r="A36" s="1" t="n"/>
      <c r="B36" s="109" t="n">
        <v>31</v>
      </c>
      <c r="C36" s="137" t="n"/>
      <c r="D36" s="110">
        <f>IFERROR(VLOOKUP(C36,CB歷年最高最低價!$A:$F,2,FALSE),"")</f>
        <v/>
      </c>
      <c r="E36" s="110">
        <f>IFERROR(VLOOKUP(C36,對應表!$A:$B,2,FALSE),"")</f>
        <v/>
      </c>
      <c r="F36" s="111">
        <f>IFERROR(VLOOKUP(C36,CB歷年最高最低價!$A:$F,3,FALSE),"")</f>
        <v/>
      </c>
      <c r="G36" s="111">
        <f>IFERROR(VLOOKUP(C36,CB歷年最高最低價!$A:$F,4,FALSE),"")</f>
        <v/>
      </c>
      <c r="H36" s="111">
        <f>IFERROR(F36/G36,"")</f>
        <v/>
      </c>
      <c r="I36" s="112">
        <f>IFERROR(F36/G36-1,"")</f>
        <v/>
      </c>
      <c r="J36" s="111">
        <f>IFERROR(F36-G36,"")</f>
        <v/>
      </c>
      <c r="K36" s="194">
        <f>IFERROR(IF(VLOOKUP(C36,CB歷年最高最低價!$A:$F,5,FALSE)="H","新高",IF(VLOOKUP(C36,CB歷年最高最低價!$A:$F,5,FALSE)="L","新低",IF(VLOOKUP(C36,CB歷年最高最低價!$A:$F,5,FALSE)="HL","高低",""))),"")</f>
        <v/>
      </c>
      <c r="L36" s="195">
        <f>IFERROR(IF(VLOOKUP(C36,CB歷年最高最低價!$A:$F,6,FALSE)="","",VLOOKUP(C36,CB歷年最高最低價!$A:$F,6,FALSE)),"")</f>
        <v/>
      </c>
    </row>
    <row r="37" ht="22" customHeight="1">
      <c r="A37" s="1" t="n"/>
      <c r="B37" s="109" t="n">
        <v>32</v>
      </c>
      <c r="C37" s="137" t="n"/>
      <c r="D37" s="115">
        <f>IFERROR(VLOOKUP(C37,CB歷年最高最低價!$A:$F,2,FALSE),"")</f>
        <v/>
      </c>
      <c r="E37" s="115">
        <f>IFERROR(VLOOKUP(C37,對應表!$A:$B,2,FALSE),"")</f>
        <v/>
      </c>
      <c r="F37" s="116">
        <f>IFERROR(VLOOKUP(C37,CB歷年最高最低價!$A:$F,3,FALSE),"")</f>
        <v/>
      </c>
      <c r="G37" s="116">
        <f>IFERROR(VLOOKUP(C37,CB歷年最高最低價!$A:$F,4,FALSE),"")</f>
        <v/>
      </c>
      <c r="H37" s="116">
        <f>IFERROR(F37/G37,"")</f>
        <v/>
      </c>
      <c r="I37" s="117">
        <f>IFERROR(F37/G37-1,"")</f>
        <v/>
      </c>
      <c r="J37" s="116">
        <f>IFERROR(F37-G37,"")</f>
        <v/>
      </c>
      <c r="K37" s="196">
        <f>IFERROR(IF(VLOOKUP(C37,CB歷年最高最低價!$A:$F,5,FALSE)="H","新高",IF(VLOOKUP(C37,CB歷年最高最低價!$A:$F,5,FALSE)="L","新低",IF(VLOOKUP(C37,CB歷年最高最低價!$A:$F,5,FALSE)="HL","高低",""))),"")</f>
        <v/>
      </c>
      <c r="L37" s="197">
        <f>IFERROR(IF(VLOOKUP(C37,CB歷年最高最低價!$A:$F,6,FALSE)="","",VLOOKUP(C37,CB歷年最高最低價!$A:$F,6,FALSE)),"")</f>
        <v/>
      </c>
    </row>
    <row r="38" ht="22" customHeight="1">
      <c r="A38" s="1" t="n"/>
      <c r="B38" s="109" t="n">
        <v>33</v>
      </c>
      <c r="C38" s="137" t="n"/>
      <c r="D38" s="110">
        <f>IFERROR(VLOOKUP(C38,CB歷年最高最低價!$A:$F,2,FALSE),"")</f>
        <v/>
      </c>
      <c r="E38" s="110">
        <f>IFERROR(VLOOKUP(C38,對應表!$A:$B,2,FALSE),"")</f>
        <v/>
      </c>
      <c r="F38" s="111">
        <f>IFERROR(VLOOKUP(C38,CB歷年最高最低價!$A:$F,3,FALSE),"")</f>
        <v/>
      </c>
      <c r="G38" s="111">
        <f>IFERROR(VLOOKUP(C38,CB歷年最高最低價!$A:$F,4,FALSE),"")</f>
        <v/>
      </c>
      <c r="H38" s="111">
        <f>IFERROR(F38/G38,"")</f>
        <v/>
      </c>
      <c r="I38" s="112">
        <f>IFERROR(F38/G38-1,"")</f>
        <v/>
      </c>
      <c r="J38" s="111">
        <f>IFERROR(F38-G38,"")</f>
        <v/>
      </c>
      <c r="K38" s="194">
        <f>IFERROR(IF(VLOOKUP(C38,CB歷年最高最低價!$A:$F,5,FALSE)="H","新高",IF(VLOOKUP(C38,CB歷年最高最低價!$A:$F,5,FALSE)="L","新低",IF(VLOOKUP(C38,CB歷年最高最低價!$A:$F,5,FALSE)="HL","高低",""))),"")</f>
        <v/>
      </c>
      <c r="L38" s="195">
        <f>IFERROR(IF(VLOOKUP(C38,CB歷年最高最低價!$A:$F,6,FALSE)="","",VLOOKUP(C38,CB歷年最高最低價!$A:$F,6,FALSE)),"")</f>
        <v/>
      </c>
    </row>
    <row r="39" ht="22" customHeight="1">
      <c r="A39" s="1" t="n"/>
      <c r="B39" s="109" t="n">
        <v>34</v>
      </c>
      <c r="C39" s="137" t="n"/>
      <c r="D39" s="115">
        <f>IFERROR(VLOOKUP(C39,CB歷年最高最低價!$A:$F,2,FALSE),"")</f>
        <v/>
      </c>
      <c r="E39" s="115">
        <f>IFERROR(VLOOKUP(C39,對應表!$A:$B,2,FALSE),"")</f>
        <v/>
      </c>
      <c r="F39" s="116">
        <f>IFERROR(VLOOKUP(C39,CB歷年最高最低價!$A:$F,3,FALSE),"")</f>
        <v/>
      </c>
      <c r="G39" s="116">
        <f>IFERROR(VLOOKUP(C39,CB歷年最高最低價!$A:$F,4,FALSE),"")</f>
        <v/>
      </c>
      <c r="H39" s="116">
        <f>IFERROR(F39/G39,"")</f>
        <v/>
      </c>
      <c r="I39" s="117">
        <f>IFERROR(F39/G39-1,"")</f>
        <v/>
      </c>
      <c r="J39" s="116">
        <f>IFERROR(F39-G39,"")</f>
        <v/>
      </c>
      <c r="K39" s="196">
        <f>IFERROR(IF(VLOOKUP(C39,CB歷年最高最低價!$A:$F,5,FALSE)="H","新高",IF(VLOOKUP(C39,CB歷年最高最低價!$A:$F,5,FALSE)="L","新低",IF(VLOOKUP(C39,CB歷年最高最低價!$A:$F,5,FALSE)="HL","高低",""))),"")</f>
        <v/>
      </c>
      <c r="L39" s="197">
        <f>IFERROR(IF(VLOOKUP(C39,CB歷年最高最低價!$A:$F,6,FALSE)="","",VLOOKUP(C39,CB歷年最高最低價!$A:$F,6,FALSE)),"")</f>
        <v/>
      </c>
    </row>
    <row r="40" ht="22" customHeight="1">
      <c r="A40" s="1" t="n"/>
      <c r="B40" s="109" t="n">
        <v>35</v>
      </c>
      <c r="C40" s="137" t="n"/>
      <c r="D40" s="110">
        <f>IFERROR(VLOOKUP(C40,CB歷年最高最低價!$A:$F,2,FALSE),"")</f>
        <v/>
      </c>
      <c r="E40" s="110">
        <f>IFERROR(VLOOKUP(C40,對應表!$A:$B,2,FALSE),"")</f>
        <v/>
      </c>
      <c r="F40" s="111">
        <f>IFERROR(VLOOKUP(C40,CB歷年最高最低價!$A:$F,3,FALSE),"")</f>
        <v/>
      </c>
      <c r="G40" s="111">
        <f>IFERROR(VLOOKUP(C40,CB歷年最高最低價!$A:$F,4,FALSE),"")</f>
        <v/>
      </c>
      <c r="H40" s="111">
        <f>IFERROR(F40/G40,"")</f>
        <v/>
      </c>
      <c r="I40" s="112">
        <f>IFERROR(F40/G40-1,"")</f>
        <v/>
      </c>
      <c r="J40" s="111">
        <f>IFERROR(F40-G40,"")</f>
        <v/>
      </c>
      <c r="K40" s="194">
        <f>IFERROR(IF(VLOOKUP(C40,CB歷年最高最低價!$A:$F,5,FALSE)="H","新高",IF(VLOOKUP(C40,CB歷年最高最低價!$A:$F,5,FALSE)="L","新低",IF(VLOOKUP(C40,CB歷年最高最低價!$A:$F,5,FALSE)="HL","高低",""))),"")</f>
        <v/>
      </c>
      <c r="L40" s="195">
        <f>IFERROR(IF(VLOOKUP(C40,CB歷年最高最低價!$A:$F,6,FALSE)="","",VLOOKUP(C40,CB歷年最高最低價!$A:$F,6,FALSE)),"")</f>
        <v/>
      </c>
    </row>
    <row r="41" ht="22" customHeight="1">
      <c r="A41" s="1" t="n"/>
      <c r="B41" s="109" t="n">
        <v>36</v>
      </c>
      <c r="C41" s="137" t="n"/>
      <c r="D41" s="115">
        <f>IFERROR(VLOOKUP(C41,CB歷年最高最低價!$A:$F,2,FALSE),"")</f>
        <v/>
      </c>
      <c r="E41" s="115">
        <f>IFERROR(VLOOKUP(C41,對應表!$A:$B,2,FALSE),"")</f>
        <v/>
      </c>
      <c r="F41" s="116">
        <f>IFERROR(VLOOKUP(C41,CB歷年最高最低價!$A:$F,3,FALSE),"")</f>
        <v/>
      </c>
      <c r="G41" s="116">
        <f>IFERROR(VLOOKUP(C41,CB歷年最高最低價!$A:$F,4,FALSE),"")</f>
        <v/>
      </c>
      <c r="H41" s="116">
        <f>IFERROR(F41/G41,"")</f>
        <v/>
      </c>
      <c r="I41" s="117">
        <f>IFERROR(F41/G41-1,"")</f>
        <v/>
      </c>
      <c r="J41" s="116">
        <f>IFERROR(F41-G41,"")</f>
        <v/>
      </c>
      <c r="K41" s="196">
        <f>IFERROR(IF(VLOOKUP(C41,CB歷年最高最低價!$A:$F,5,FALSE)="H","新高",IF(VLOOKUP(C41,CB歷年最高最低價!$A:$F,5,FALSE)="L","新低",IF(VLOOKUP(C41,CB歷年最高最低價!$A:$F,5,FALSE)="HL","高低",""))),"")</f>
        <v/>
      </c>
      <c r="L41" s="197">
        <f>IFERROR(IF(VLOOKUP(C41,CB歷年最高最低價!$A:$F,6,FALSE)="","",VLOOKUP(C41,CB歷年最高最低價!$A:$F,6,FALSE)),"")</f>
        <v/>
      </c>
    </row>
    <row r="42" ht="22" customHeight="1">
      <c r="A42" s="1" t="n"/>
      <c r="B42" s="109" t="n">
        <v>37</v>
      </c>
      <c r="C42" s="137" t="n"/>
      <c r="D42" s="110">
        <f>IFERROR(VLOOKUP(C42,CB歷年最高最低價!$A:$F,2,FALSE),"")</f>
        <v/>
      </c>
      <c r="E42" s="110">
        <f>IFERROR(VLOOKUP(C42,對應表!$A:$B,2,FALSE),"")</f>
        <v/>
      </c>
      <c r="F42" s="111">
        <f>IFERROR(VLOOKUP(C42,CB歷年最高最低價!$A:$F,3,FALSE),"")</f>
        <v/>
      </c>
      <c r="G42" s="111">
        <f>IFERROR(VLOOKUP(C42,CB歷年最高最低價!$A:$F,4,FALSE),"")</f>
        <v/>
      </c>
      <c r="H42" s="111">
        <f>IFERROR(F42/G42,"")</f>
        <v/>
      </c>
      <c r="I42" s="112">
        <f>IFERROR(F42/G42-1,"")</f>
        <v/>
      </c>
      <c r="J42" s="111">
        <f>IFERROR(F42-G42,"")</f>
        <v/>
      </c>
      <c r="K42" s="194">
        <f>IFERROR(IF(VLOOKUP(C42,CB歷年最高最低價!$A:$F,5,FALSE)="H","新高",IF(VLOOKUP(C42,CB歷年最高最低價!$A:$F,5,FALSE)="L","新低",IF(VLOOKUP(C42,CB歷年最高最低價!$A:$F,5,FALSE)="HL","高低",""))),"")</f>
        <v/>
      </c>
      <c r="L42" s="195">
        <f>IFERROR(IF(VLOOKUP(C42,CB歷年最高最低價!$A:$F,6,FALSE)="","",VLOOKUP(C42,CB歷年最高最低價!$A:$F,6,FALSE)),"")</f>
        <v/>
      </c>
    </row>
    <row r="43" ht="22" customHeight="1">
      <c r="A43" s="1" t="n"/>
      <c r="B43" s="109" t="n">
        <v>38</v>
      </c>
      <c r="C43" s="137" t="n"/>
      <c r="D43" s="115">
        <f>IFERROR(VLOOKUP(C43,CB歷年最高最低價!$A:$F,2,FALSE),"")</f>
        <v/>
      </c>
      <c r="E43" s="115">
        <f>IFERROR(VLOOKUP(C43,對應表!$A:$B,2,FALSE),"")</f>
        <v/>
      </c>
      <c r="F43" s="116">
        <f>IFERROR(VLOOKUP(C43,CB歷年最高最低價!$A:$F,3,FALSE),"")</f>
        <v/>
      </c>
      <c r="G43" s="116">
        <f>IFERROR(VLOOKUP(C43,CB歷年最高最低價!$A:$F,4,FALSE),"")</f>
        <v/>
      </c>
      <c r="H43" s="116">
        <f>IFERROR(F43/G43,"")</f>
        <v/>
      </c>
      <c r="I43" s="117">
        <f>IFERROR(F43/G43-1,"")</f>
        <v/>
      </c>
      <c r="J43" s="116">
        <f>IFERROR(F43-G43,"")</f>
        <v/>
      </c>
      <c r="K43" s="196">
        <f>IFERROR(IF(VLOOKUP(C43,CB歷年最高最低價!$A:$F,5,FALSE)="H","新高",IF(VLOOKUP(C43,CB歷年最高最低價!$A:$F,5,FALSE)="L","新低",IF(VLOOKUP(C43,CB歷年最高最低價!$A:$F,5,FALSE)="HL","高低",""))),"")</f>
        <v/>
      </c>
      <c r="L43" s="197">
        <f>IFERROR(IF(VLOOKUP(C43,CB歷年最高最低價!$A:$F,6,FALSE)="","",VLOOKUP(C43,CB歷年最高最低價!$A:$F,6,FALSE)),"")</f>
        <v/>
      </c>
    </row>
    <row r="44" ht="22" customHeight="1">
      <c r="B44" s="320" t="n">
        <v>39</v>
      </c>
      <c r="C44" s="137" t="n"/>
      <c r="D44" s="110">
        <f>IFERROR(VLOOKUP(C44,CB歷年最高最低價!$A:$F,2,FALSE),"")</f>
        <v/>
      </c>
      <c r="E44" s="110">
        <f>IFERROR(VLOOKUP(C44,對應表!$A:$B,2,FALSE),"")</f>
        <v/>
      </c>
      <c r="F44" s="111">
        <f>IFERROR(VLOOKUP(C44,CB歷年最高最低價!$A:$F,3,FALSE),"")</f>
        <v/>
      </c>
      <c r="G44" s="111">
        <f>IFERROR(VLOOKUP(C44,CB歷年最高最低價!$A:$F,4,FALSE),"")</f>
        <v/>
      </c>
      <c r="H44" s="111">
        <f>IFERROR(F44/G44,"")</f>
        <v/>
      </c>
      <c r="I44" s="112">
        <f>IFERROR(F44/G44-1,"")</f>
        <v/>
      </c>
      <c r="J44" s="111">
        <f>IFERROR(F44-G44,"")</f>
        <v/>
      </c>
      <c r="K44" s="194">
        <f>IFERROR(IF(VLOOKUP(C44,CB歷年最高最低價!$A:$F,5,FALSE)="H","新高",IF(VLOOKUP(C44,CB歷年最高最低價!$A:$F,5,FALSE)="L","新低",IF(VLOOKUP(C44,CB歷年最高最低價!$A:$F,5,FALSE)="HL","高低",""))),"")</f>
        <v/>
      </c>
      <c r="L44" s="195">
        <f>IFERROR(IF(VLOOKUP(C44,CB歷年最高最低價!$A:$F,6,FALSE)="","",VLOOKUP(C44,CB歷年最高最低價!$A:$F,6,FALSE)),"")</f>
        <v/>
      </c>
    </row>
    <row r="45" ht="22" customHeight="1">
      <c r="B45" s="320" t="n">
        <v>40</v>
      </c>
      <c r="C45" s="137" t="n"/>
      <c r="D45" s="115">
        <f>IFERROR(VLOOKUP(C45,CB歷年最高最低價!$A:$F,2,FALSE),"")</f>
        <v/>
      </c>
      <c r="E45" s="115">
        <f>IFERROR(VLOOKUP(C45,對應表!$A:$B,2,FALSE),"")</f>
        <v/>
      </c>
      <c r="F45" s="116">
        <f>IFERROR(VLOOKUP(C45,CB歷年最高最低價!$A:$F,3,FALSE),"")</f>
        <v/>
      </c>
      <c r="G45" s="116">
        <f>IFERROR(VLOOKUP(C45,CB歷年最高最低價!$A:$F,4,FALSE),"")</f>
        <v/>
      </c>
      <c r="H45" s="116">
        <f>IFERROR(F45/G45,"")</f>
        <v/>
      </c>
      <c r="I45" s="117">
        <f>IFERROR(F45/G45-1,"")</f>
        <v/>
      </c>
      <c r="J45" s="116">
        <f>IFERROR(F45-G45,"")</f>
        <v/>
      </c>
      <c r="K45" s="196">
        <f>IFERROR(IF(VLOOKUP(C45,CB歷年最高最低價!$A:$F,5,FALSE)="H","新高",IF(VLOOKUP(C45,CB歷年最高最低價!$A:$F,5,FALSE)="L","新低",IF(VLOOKUP(C45,CB歷年最高最低價!$A:$F,5,FALSE)="HL","高低",""))),"")</f>
        <v/>
      </c>
      <c r="L45" s="197">
        <f>IFERROR(IF(VLOOKUP(C45,CB歷年最高最低價!$A:$F,6,FALSE)="","",VLOOKUP(C45,CB歷年最高最低價!$A:$F,6,FALSE)),"")</f>
        <v/>
      </c>
    </row>
    <row r="46" ht="22" customHeight="1">
      <c r="B46" s="320" t="n">
        <v>41</v>
      </c>
      <c r="C46" s="137" t="n"/>
      <c r="D46" s="110">
        <f>IFERROR(VLOOKUP(C46,CB歷年最高最低價!$A:$F,2,FALSE),"")</f>
        <v/>
      </c>
      <c r="E46" s="110">
        <f>IFERROR(VLOOKUP(C46,對應表!$A:$B,2,FALSE),"")</f>
        <v/>
      </c>
      <c r="F46" s="111">
        <f>IFERROR(VLOOKUP(C46,CB歷年最高最低價!$A:$F,3,FALSE),"")</f>
        <v/>
      </c>
      <c r="G46" s="111">
        <f>IFERROR(VLOOKUP(C46,CB歷年最高最低價!$A:$F,4,FALSE),"")</f>
        <v/>
      </c>
      <c r="H46" s="111">
        <f>IFERROR(F46/G46,"")</f>
        <v/>
      </c>
      <c r="I46" s="112">
        <f>IFERROR(F46/G46-1,"")</f>
        <v/>
      </c>
      <c r="J46" s="111">
        <f>IFERROR(F46-G46,"")</f>
        <v/>
      </c>
      <c r="K46" s="194">
        <f>IFERROR(IF(VLOOKUP(C46,CB歷年最高最低價!$A:$F,5,FALSE)="H","新高",IF(VLOOKUP(C46,CB歷年最高最低價!$A:$F,5,FALSE)="L","新低",IF(VLOOKUP(C46,CB歷年最高最低價!$A:$F,5,FALSE)="HL","高低",""))),"")</f>
        <v/>
      </c>
      <c r="L46" s="195">
        <f>IFERROR(IF(VLOOKUP(C46,CB歷年最高最低價!$A:$F,6,FALSE)="","",VLOOKUP(C46,CB歷年最高最低價!$A:$F,6,FALSE)),"")</f>
        <v/>
      </c>
    </row>
    <row r="47" ht="22" customHeight="1">
      <c r="B47" s="320" t="n">
        <v>42</v>
      </c>
      <c r="C47" s="137" t="n"/>
      <c r="D47" s="115">
        <f>IFERROR(VLOOKUP(C47,CB歷年最高最低價!$A:$F,2,FALSE),"")</f>
        <v/>
      </c>
      <c r="E47" s="115">
        <f>IFERROR(VLOOKUP(C47,對應表!$A:$B,2,FALSE),"")</f>
        <v/>
      </c>
      <c r="F47" s="116">
        <f>IFERROR(VLOOKUP(C47,CB歷年最高最低價!$A:$F,3,FALSE),"")</f>
        <v/>
      </c>
      <c r="G47" s="116">
        <f>IFERROR(VLOOKUP(C47,CB歷年最高最低價!$A:$F,4,FALSE),"")</f>
        <v/>
      </c>
      <c r="H47" s="116">
        <f>IFERROR(F47/G47,"")</f>
        <v/>
      </c>
      <c r="I47" s="117">
        <f>IFERROR(F47/G47-1,"")</f>
        <v/>
      </c>
      <c r="J47" s="116">
        <f>IFERROR(F47-G47,"")</f>
        <v/>
      </c>
      <c r="K47" s="196">
        <f>IFERROR(IF(VLOOKUP(C47,CB歷年最高最低價!$A:$F,5,FALSE)="H","新高",IF(VLOOKUP(C47,CB歷年最高最低價!$A:$F,5,FALSE)="L","新低",IF(VLOOKUP(C47,CB歷年最高最低價!$A:$F,5,FALSE)="HL","高低",""))),"")</f>
        <v/>
      </c>
      <c r="L47" s="197">
        <f>IFERROR(IF(VLOOKUP(C47,CB歷年最高最低價!$A:$F,6,FALSE)="","",VLOOKUP(C47,CB歷年最高最低價!$A:$F,6,FALSE)),"")</f>
        <v/>
      </c>
    </row>
    <row r="48" ht="22" customHeight="1">
      <c r="B48" s="320" t="n">
        <v>43</v>
      </c>
      <c r="C48" s="137" t="n"/>
      <c r="D48" s="110">
        <f>IFERROR(VLOOKUP(C48,CB歷年最高最低價!$A:$F,2,FALSE),"")</f>
        <v/>
      </c>
      <c r="E48" s="110">
        <f>IFERROR(VLOOKUP(C48,對應表!$A:$B,2,FALSE),"")</f>
        <v/>
      </c>
      <c r="F48" s="111">
        <f>IFERROR(VLOOKUP(C48,CB歷年最高最低價!$A:$F,3,FALSE),"")</f>
        <v/>
      </c>
      <c r="G48" s="111">
        <f>IFERROR(VLOOKUP(C48,CB歷年最高最低價!$A:$F,4,FALSE),"")</f>
        <v/>
      </c>
      <c r="H48" s="111">
        <f>IFERROR(F48/G48,"")</f>
        <v/>
      </c>
      <c r="I48" s="112">
        <f>IFERROR(F48/G48-1,"")</f>
        <v/>
      </c>
      <c r="J48" s="111">
        <f>IFERROR(F48-G48,"")</f>
        <v/>
      </c>
      <c r="K48" s="194">
        <f>IFERROR(IF(VLOOKUP(C48,CB歷年最高最低價!$A:$F,5,FALSE)="H","新高",IF(VLOOKUP(C48,CB歷年最高最低價!$A:$F,5,FALSE)="L","新低",IF(VLOOKUP(C48,CB歷年最高最低價!$A:$F,5,FALSE)="HL","高低",""))),"")</f>
        <v/>
      </c>
      <c r="L48" s="195">
        <f>IFERROR(IF(VLOOKUP(C48,CB歷年最高最低價!$A:$F,6,FALSE)="","",VLOOKUP(C48,CB歷年最高最低價!$A:$F,6,FALSE)),"")</f>
        <v/>
      </c>
    </row>
    <row r="49" ht="22" customHeight="1">
      <c r="B49" s="320" t="n">
        <v>44</v>
      </c>
      <c r="C49" s="137" t="n"/>
      <c r="D49" s="115">
        <f>IFERROR(VLOOKUP(C49,CB歷年最高最低價!$A:$F,2,FALSE),"")</f>
        <v/>
      </c>
      <c r="E49" s="115">
        <f>IFERROR(VLOOKUP(C49,對應表!$A:$B,2,FALSE),"")</f>
        <v/>
      </c>
      <c r="F49" s="116">
        <f>IFERROR(VLOOKUP(C49,CB歷年最高最低價!$A:$F,3,FALSE),"")</f>
        <v/>
      </c>
      <c r="G49" s="116">
        <f>IFERROR(VLOOKUP(C49,CB歷年最高最低價!$A:$F,4,FALSE),"")</f>
        <v/>
      </c>
      <c r="H49" s="116">
        <f>IFERROR(F49/G49,"")</f>
        <v/>
      </c>
      <c r="I49" s="117">
        <f>IFERROR(F49/G49-1,"")</f>
        <v/>
      </c>
      <c r="J49" s="116">
        <f>IFERROR(F49-G49,"")</f>
        <v/>
      </c>
      <c r="K49" s="196">
        <f>IFERROR(IF(VLOOKUP(C49,CB歷年最高最低價!$A:$F,5,FALSE)="H","新高",IF(VLOOKUP(C49,CB歷年最高最低價!$A:$F,5,FALSE)="L","新低",IF(VLOOKUP(C49,CB歷年最高最低價!$A:$F,5,FALSE)="HL","高低",""))),"")</f>
        <v/>
      </c>
      <c r="L49" s="197">
        <f>IFERROR(IF(VLOOKUP(C49,CB歷年最高最低價!$A:$F,6,FALSE)="","",VLOOKUP(C49,CB歷年最高最低價!$A:$F,6,FALSE)),"")</f>
        <v/>
      </c>
    </row>
    <row r="50" ht="22" customHeight="1">
      <c r="B50" s="320" t="n">
        <v>45</v>
      </c>
      <c r="C50" s="137" t="n"/>
      <c r="D50" s="110">
        <f>IFERROR(VLOOKUP(C50,CB歷年最高最低價!$A:$F,2,FALSE),"")</f>
        <v/>
      </c>
      <c r="E50" s="110">
        <f>IFERROR(VLOOKUP(C50,對應表!$A:$B,2,FALSE),"")</f>
        <v/>
      </c>
      <c r="F50" s="111">
        <f>IFERROR(VLOOKUP(C50,CB歷年最高最低價!$A:$F,3,FALSE),"")</f>
        <v/>
      </c>
      <c r="G50" s="111">
        <f>IFERROR(VLOOKUP(C50,CB歷年最高最低價!$A:$F,4,FALSE),"")</f>
        <v/>
      </c>
      <c r="H50" s="111">
        <f>IFERROR(F50/G50,"")</f>
        <v/>
      </c>
      <c r="I50" s="112">
        <f>IFERROR(F50/G50-1,"")</f>
        <v/>
      </c>
      <c r="J50" s="111">
        <f>IFERROR(F50-G50,"")</f>
        <v/>
      </c>
      <c r="K50" s="194">
        <f>IFERROR(IF(VLOOKUP(C50,CB歷年最高最低價!$A:$F,5,FALSE)="H","新高",IF(VLOOKUP(C50,CB歷年最高最低價!$A:$F,5,FALSE)="L","新低",IF(VLOOKUP(C50,CB歷年最高最低價!$A:$F,5,FALSE)="HL","高低",""))),"")</f>
        <v/>
      </c>
      <c r="L50" s="195">
        <f>IFERROR(IF(VLOOKUP(C50,CB歷年最高最低價!$A:$F,6,FALSE)="","",VLOOKUP(C50,CB歷年最高最低價!$A:$F,6,FALSE)),"")</f>
        <v/>
      </c>
    </row>
    <row r="51" ht="22" customHeight="1">
      <c r="B51" s="320" t="n">
        <v>46</v>
      </c>
      <c r="C51" s="137" t="n"/>
      <c r="D51" s="115">
        <f>IFERROR(VLOOKUP(C51,CB歷年最高最低價!$A:$F,2,FALSE),"")</f>
        <v/>
      </c>
      <c r="E51" s="115">
        <f>IFERROR(VLOOKUP(C51,對應表!$A:$B,2,FALSE),"")</f>
        <v/>
      </c>
      <c r="F51" s="116">
        <f>IFERROR(VLOOKUP(C51,CB歷年最高最低價!$A:$F,3,FALSE),"")</f>
        <v/>
      </c>
      <c r="G51" s="116">
        <f>IFERROR(VLOOKUP(C51,CB歷年最高最低價!$A:$F,4,FALSE),"")</f>
        <v/>
      </c>
      <c r="H51" s="116">
        <f>IFERROR(F51/G51,"")</f>
        <v/>
      </c>
      <c r="I51" s="117">
        <f>IFERROR(F51/G51-1,"")</f>
        <v/>
      </c>
      <c r="J51" s="116">
        <f>IFERROR(F51-G51,"")</f>
        <v/>
      </c>
      <c r="K51" s="196">
        <f>IFERROR(IF(VLOOKUP(C51,CB歷年最高最低價!$A:$F,5,FALSE)="H","新高",IF(VLOOKUP(C51,CB歷年最高最低價!$A:$F,5,FALSE)="L","新低",IF(VLOOKUP(C51,CB歷年最高最低價!$A:$F,5,FALSE)="HL","高低",""))),"")</f>
        <v/>
      </c>
      <c r="L51" s="197">
        <f>IFERROR(IF(VLOOKUP(C51,CB歷年最高最低價!$A:$F,6,FALSE)="","",VLOOKUP(C51,CB歷年最高最低價!$A:$F,6,FALSE)),"")</f>
        <v/>
      </c>
    </row>
    <row r="52" ht="22" customHeight="1">
      <c r="B52" s="320" t="n">
        <v>47</v>
      </c>
      <c r="C52" s="137" t="n"/>
      <c r="D52" s="110">
        <f>IFERROR(VLOOKUP(C52,CB歷年最高最低價!$A:$F,2,FALSE),"")</f>
        <v/>
      </c>
      <c r="E52" s="110">
        <f>IFERROR(VLOOKUP(C52,對應表!$A:$B,2,FALSE),"")</f>
        <v/>
      </c>
      <c r="F52" s="111">
        <f>IFERROR(VLOOKUP(C52,CB歷年最高最低價!$A:$F,3,FALSE),"")</f>
        <v/>
      </c>
      <c r="G52" s="111">
        <f>IFERROR(VLOOKUP(C52,CB歷年最高最低價!$A:$F,4,FALSE),"")</f>
        <v/>
      </c>
      <c r="H52" s="111">
        <f>IFERROR(F52/G52,"")</f>
        <v/>
      </c>
      <c r="I52" s="112">
        <f>IFERROR(F52/G52-1,"")</f>
        <v/>
      </c>
      <c r="J52" s="111">
        <f>IFERROR(F52-G52,"")</f>
        <v/>
      </c>
      <c r="K52" s="194">
        <f>IFERROR(IF(VLOOKUP(C52,CB歷年最高最低價!$A:$F,5,FALSE)="H","新高",IF(VLOOKUP(C52,CB歷年最高最低價!$A:$F,5,FALSE)="L","新低",IF(VLOOKUP(C52,CB歷年最高最低價!$A:$F,5,FALSE)="HL","高低",""))),"")</f>
        <v/>
      </c>
      <c r="L52" s="195">
        <f>IFERROR(IF(VLOOKUP(C52,CB歷年最高最低價!$A:$F,6,FALSE)="","",VLOOKUP(C52,CB歷年最高最低價!$A:$F,6,FALSE)),"")</f>
        <v/>
      </c>
    </row>
    <row r="53" ht="22" customHeight="1">
      <c r="B53" s="320" t="n">
        <v>48</v>
      </c>
      <c r="C53" s="137" t="n"/>
      <c r="D53" s="115">
        <f>IFERROR(VLOOKUP(C53,CB歷年最高最低價!$A:$F,2,FALSE),"")</f>
        <v/>
      </c>
      <c r="E53" s="115">
        <f>IFERROR(VLOOKUP(C53,對應表!$A:$B,2,FALSE),"")</f>
        <v/>
      </c>
      <c r="F53" s="116">
        <f>IFERROR(VLOOKUP(C53,CB歷年最高最低價!$A:$F,3,FALSE),"")</f>
        <v/>
      </c>
      <c r="G53" s="116">
        <f>IFERROR(VLOOKUP(C53,CB歷年最高最低價!$A:$F,4,FALSE),"")</f>
        <v/>
      </c>
      <c r="H53" s="116">
        <f>IFERROR(F53/G53,"")</f>
        <v/>
      </c>
      <c r="I53" s="117">
        <f>IFERROR(F53/G53-1,"")</f>
        <v/>
      </c>
      <c r="J53" s="116">
        <f>IFERROR(F53-G53,"")</f>
        <v/>
      </c>
      <c r="K53" s="196">
        <f>IFERROR(IF(VLOOKUP(C53,CB歷年最高最低價!$A:$F,5,FALSE)="H","新高",IF(VLOOKUP(C53,CB歷年最高最低價!$A:$F,5,FALSE)="L","新低",IF(VLOOKUP(C53,CB歷年最高最低價!$A:$F,5,FALSE)="HL","高低",""))),"")</f>
        <v/>
      </c>
      <c r="L53" s="197">
        <f>IFERROR(IF(VLOOKUP(C53,CB歷年最高最低價!$A:$F,6,FALSE)="","",VLOOKUP(C53,CB歷年最高最低價!$A:$F,6,FALSE)),"")</f>
        <v/>
      </c>
    </row>
    <row r="54" ht="22" customHeight="1">
      <c r="B54" s="320" t="n">
        <v>49</v>
      </c>
      <c r="C54" s="137" t="n"/>
      <c r="D54" s="110">
        <f>IFERROR(VLOOKUP(C54,CB歷年最高最低價!$A:$F,2,FALSE),"")</f>
        <v/>
      </c>
      <c r="E54" s="110">
        <f>IFERROR(VLOOKUP(C54,對應表!$A:$B,2,FALSE),"")</f>
        <v/>
      </c>
      <c r="F54" s="111">
        <f>IFERROR(VLOOKUP(C54,CB歷年最高最低價!$A:$F,3,FALSE),"")</f>
        <v/>
      </c>
      <c r="G54" s="111">
        <f>IFERROR(VLOOKUP(C54,CB歷年最高最低價!$A:$F,4,FALSE),"")</f>
        <v/>
      </c>
      <c r="H54" s="111">
        <f>IFERROR(F54/G54,"")</f>
        <v/>
      </c>
      <c r="I54" s="112">
        <f>IFERROR(F54/G54-1,"")</f>
        <v/>
      </c>
      <c r="J54" s="111">
        <f>IFERROR(F54-G54,"")</f>
        <v/>
      </c>
      <c r="K54" s="194">
        <f>IFERROR(IF(VLOOKUP(C54,CB歷年最高最低價!$A:$F,5,FALSE)="H","新高",IF(VLOOKUP(C54,CB歷年最高最低價!$A:$F,5,FALSE)="L","新低",IF(VLOOKUP(C54,CB歷年最高最低價!$A:$F,5,FALSE)="HL","高低",""))),"")</f>
        <v/>
      </c>
      <c r="L54" s="195">
        <f>IFERROR(IF(VLOOKUP(C54,CB歷年最高最低價!$A:$F,6,FALSE)="","",VLOOKUP(C54,CB歷年最高最低價!$A:$F,6,FALSE)),"")</f>
        <v/>
      </c>
    </row>
    <row r="55" ht="22" customHeight="1">
      <c r="B55" s="321" t="n">
        <v>50</v>
      </c>
      <c r="C55" s="138" t="n"/>
      <c r="D55" s="120">
        <f>IFERROR(VLOOKUP(C55,CB歷年最高最低價!$A:$F,2,FALSE),"")</f>
        <v/>
      </c>
      <c r="E55" s="120">
        <f>IFERROR(VLOOKUP(C55,對應表!$A:$B,2,FALSE),"")</f>
        <v/>
      </c>
      <c r="F55" s="121">
        <f>IFERROR(VLOOKUP(C55,CB歷年最高最低價!$A:$F,3,FALSE),"")</f>
        <v/>
      </c>
      <c r="G55" s="121">
        <f>IFERROR(VLOOKUP(C55,CB歷年最高最低價!$A:$F,4,FALSE),"")</f>
        <v/>
      </c>
      <c r="H55" s="121">
        <f>IFERROR(F55/G55,"")</f>
        <v/>
      </c>
      <c r="I55" s="122">
        <f>IFERROR(F55/G55-1,"")</f>
        <v/>
      </c>
      <c r="J55" s="121">
        <f>IFERROR(F55-G55,"")</f>
        <v/>
      </c>
      <c r="K55" s="198">
        <f>IFERROR(IF(VLOOKUP(C55,CB歷年最高最低價!$A:$F,5,FALSE)="H","新高",IF(VLOOKUP(C55,CB歷年最高最低價!$A:$F,5,FALSE)="L","新低",IF(VLOOKUP(C55,CB歷年最高最低價!$A:$F,5,FALSE)="HL","高低",""))),"")</f>
        <v/>
      </c>
      <c r="L55" s="199">
        <f>IFERROR(IF(VLOOKUP(C55,CB歷年最高最低價!$A:$F,6,FALSE)="","",VLOOKUP(C55,CB歷年最高最低價!$A:$F,6,FALSE)),"")</f>
        <v/>
      </c>
    </row>
    <row r="57">
      <c r="B57" s="322" t="inlineStr">
        <is>
          <t>📊 平均值</t>
        </is>
      </c>
      <c r="C57" s="332" t="n"/>
      <c r="D57" s="332" t="n"/>
      <c r="E57" s="333" t="n"/>
      <c r="F57" s="323">
        <f>IFERROR(AVERAGE(F6:F55),"")</f>
        <v/>
      </c>
      <c r="G57" s="323">
        <f>IFERROR(AVERAGE(G6:G55),"")</f>
        <v/>
      </c>
      <c r="H57" s="323">
        <f>IFERROR(AVERAGE(H6:H55),"")</f>
        <v/>
      </c>
      <c r="I57" s="324">
        <f>IFERROR(AVERAGE(I6:I55),"")</f>
        <v/>
      </c>
      <c r="J57" s="323">
        <f>IFERROR(AVERAGE(J6:J55),"")</f>
        <v/>
      </c>
      <c r="K57" s="206" t="n"/>
      <c r="L57" s="207" t="n"/>
    </row>
    <row r="59">
      <c r="B59" s="325" t="inlineStr">
        <is>
          <t>📌 使用說明</t>
        </is>
      </c>
    </row>
    <row r="60">
      <c r="B60" s="326" t="inlineStr">
        <is>
          <t>1. 在 C 欄黃色區輸入 CB 代號(5~6 碼),可跨公司自由組合最多 50 檔</t>
        </is>
      </c>
    </row>
    <row r="61">
      <c r="B61" s="326" t="inlineStr">
        <is>
          <t>2. 名稱、股票代號、高低價、振幅會自動帶出</t>
        </is>
      </c>
    </row>
    <row r="62">
      <c r="B62" s="326" t="inlineStr">
        <is>
          <t>3. 最下方統計列顯示所選 CB 組合的平均值</t>
        </is>
      </c>
    </row>
    <row r="63">
      <c r="B63" s="327" t="inlineStr">
        <is>
          <t>⚠️ 本工具僅供歷史資料參考,不構成任何投資建議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B57:E57"/>
    <mergeCell ref="B62:L62"/>
    <mergeCell ref="B3:L3"/>
    <mergeCell ref="B2:L2"/>
    <mergeCell ref="B59:L59"/>
    <mergeCell ref="B60:L60"/>
    <mergeCell ref="B63:L63"/>
    <mergeCell ref="B61:L61"/>
  </mergeCells>
  <conditionalFormatting sqref="F6:F55">
    <cfRule type="colorScale" priority="1">
      <colorScale>
        <cfvo type="min"/>
        <cfvo type="max"/>
        <color rgb="00FFFFFF"/>
        <color rgb="00F8696B"/>
      </colorScale>
    </cfRule>
  </conditionalFormatting>
  <conditionalFormatting sqref="G6:G55">
    <cfRule type="colorScale" priority="2">
      <colorScale>
        <cfvo type="min"/>
        <cfvo type="max"/>
        <color rgb="0063BE7B"/>
        <color rgb="00FFFFFF"/>
      </colorScale>
    </cfRule>
  </conditionalFormatting>
  <printOptions horizontalCentered="1"/>
  <pageMargins left="0.5" right="0.5" top="0.6" bottom="0.6" header="0.3" footer="0.3"/>
  <pageSetup orientation="portrait" paperSize="9" fitToHeight="1" fitToWidth="1"/>
  <headerFooter>
    <oddHeader>&amp;C&amp;10 &amp;K1F4E78Rex大叔投資研究室  |  DIY 自組查詢</oddHeader>
    <oddFooter>&amp;L&amp;9 &amp;D&amp;R&amp;9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97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CB代號</t>
        </is>
      </c>
      <c r="B1" s="33" t="inlineStr">
        <is>
          <t>股票代號</t>
        </is>
      </c>
      <c r="C1" s="33" t="inlineStr">
        <is>
          <t>命中序</t>
        </is>
      </c>
    </row>
    <row r="2">
      <c r="A2" t="n">
        <v>11011</v>
      </c>
      <c r="B2" t="n">
        <v>1101</v>
      </c>
      <c r="C2">
        <f>IF(B2='🎯 一鍵查詢'!$C$5,COUNTIF($B$2:B2,'🎯 一鍵查詢'!$C$5),"")</f>
        <v/>
      </c>
    </row>
    <row r="3">
      <c r="A3" t="n">
        <v>12101</v>
      </c>
      <c r="B3" t="n">
        <v>1210</v>
      </c>
      <c r="C3">
        <f>IF(B3='🎯 一鍵查詢'!$C$5,COUNTIF($B$2:B3,'🎯 一鍵查詢'!$C$5),"")</f>
        <v/>
      </c>
    </row>
    <row r="4">
      <c r="A4" t="n">
        <v>12161</v>
      </c>
      <c r="B4" t="n">
        <v>1216</v>
      </c>
      <c r="C4">
        <f>IF(B4='🎯 一鍵查詢'!$C$5,COUNTIF($B$2:B4,'🎯 一鍵查詢'!$C$5),"")</f>
        <v/>
      </c>
    </row>
    <row r="5">
      <c r="A5" t="n">
        <v>12171</v>
      </c>
      <c r="B5" t="n">
        <v>1217</v>
      </c>
      <c r="C5">
        <f>IF(B5='🎯 一鍵查詢'!$C$5,COUNTIF($B$2:B5,'🎯 一鍵查詢'!$C$5),"")</f>
        <v/>
      </c>
    </row>
    <row r="6">
      <c r="A6" t="n">
        <v>12172</v>
      </c>
      <c r="B6" t="n">
        <v>1217</v>
      </c>
      <c r="C6">
        <f>IF(B6='🎯 一鍵查詢'!$C$5,COUNTIF($B$2:B6,'🎯 一鍵查詢'!$C$5),"")</f>
        <v/>
      </c>
    </row>
    <row r="7">
      <c r="A7" t="n">
        <v>12173</v>
      </c>
      <c r="B7" t="n">
        <v>1217</v>
      </c>
      <c r="C7">
        <f>IF(B7='🎯 一鍵查詢'!$C$5,COUNTIF($B$2:B7,'🎯 一鍵查詢'!$C$5),"")</f>
        <v/>
      </c>
    </row>
    <row r="8">
      <c r="A8" t="n">
        <v>12181</v>
      </c>
      <c r="B8" t="n">
        <v>1218</v>
      </c>
      <c r="C8">
        <f>IF(B8='🎯 一鍵查詢'!$C$5,COUNTIF($B$2:B8,'🎯 一鍵查詢'!$C$5),"")</f>
        <v/>
      </c>
    </row>
    <row r="9">
      <c r="A9" t="n">
        <v>12251</v>
      </c>
      <c r="B9" t="n">
        <v>1225</v>
      </c>
      <c r="C9">
        <f>IF(B9='🎯 一鍵查詢'!$C$5,COUNTIF($B$2:B9,'🎯 一鍵查詢'!$C$5),"")</f>
        <v/>
      </c>
    </row>
    <row r="10">
      <c r="A10" t="n">
        <v>12561</v>
      </c>
      <c r="B10" t="n">
        <v>1256</v>
      </c>
      <c r="C10">
        <f>IF(B10='🎯 一鍵查詢'!$C$5,COUNTIF($B$2:B10,'🎯 一鍵查詢'!$C$5),"")</f>
        <v/>
      </c>
    </row>
    <row r="11">
      <c r="A11" t="n">
        <v>12581</v>
      </c>
      <c r="B11" t="n">
        <v>1258</v>
      </c>
      <c r="C11">
        <f>IF(B11='🎯 一鍵查詢'!$C$5,COUNTIF($B$2:B11,'🎯 一鍵查詢'!$C$5),"")</f>
        <v/>
      </c>
    </row>
    <row r="12">
      <c r="A12" t="n">
        <v>12582</v>
      </c>
      <c r="B12" t="n">
        <v>1258</v>
      </c>
      <c r="C12">
        <f>IF(B12='🎯 一鍵查詢'!$C$5,COUNTIF($B$2:B12,'🎯 一鍵查詢'!$C$5),"")</f>
        <v/>
      </c>
    </row>
    <row r="13">
      <c r="A13" t="n">
        <v>13121</v>
      </c>
      <c r="B13" t="n">
        <v>1312</v>
      </c>
      <c r="C13">
        <f>IF(B13='🎯 一鍵查詢'!$C$5,COUNTIF($B$2:B13,'🎯 一鍵查詢'!$C$5),"")</f>
        <v/>
      </c>
    </row>
    <row r="14">
      <c r="A14" t="n">
        <v>13161</v>
      </c>
      <c r="B14" t="n">
        <v>1316</v>
      </c>
      <c r="C14">
        <f>IF(B14='🎯 一鍵查詢'!$C$5,COUNTIF($B$2:B14,'🎯 一鍵查詢'!$C$5),"")</f>
        <v/>
      </c>
    </row>
    <row r="15">
      <c r="A15" t="n">
        <v>13162</v>
      </c>
      <c r="B15" t="n">
        <v>1316</v>
      </c>
      <c r="C15">
        <f>IF(B15='🎯 一鍵查詢'!$C$5,COUNTIF($B$2:B15,'🎯 一鍵查詢'!$C$5),"")</f>
        <v/>
      </c>
    </row>
    <row r="16">
      <c r="A16" t="n">
        <v>13163</v>
      </c>
      <c r="B16" t="n">
        <v>1316</v>
      </c>
      <c r="C16">
        <f>IF(B16='🎯 一鍵查詢'!$C$5,COUNTIF($B$2:B16,'🎯 一鍵查詢'!$C$5),"")</f>
        <v/>
      </c>
    </row>
    <row r="17">
      <c r="A17" t="n">
        <v>13164</v>
      </c>
      <c r="B17" t="n">
        <v>1316</v>
      </c>
      <c r="C17">
        <f>IF(B17='🎯 一鍵查詢'!$C$5,COUNTIF($B$2:B17,'🎯 一鍵查詢'!$C$5),"")</f>
        <v/>
      </c>
    </row>
    <row r="18">
      <c r="A18" t="n">
        <v>13165</v>
      </c>
      <c r="B18" t="n">
        <v>1316</v>
      </c>
      <c r="C18">
        <f>IF(B18='🎯 一鍵查詢'!$C$5,COUNTIF($B$2:B18,'🎯 一鍵查詢'!$C$5),"")</f>
        <v/>
      </c>
    </row>
    <row r="19">
      <c r="A19" t="n">
        <v>13166</v>
      </c>
      <c r="B19" t="n">
        <v>1316</v>
      </c>
      <c r="C19">
        <f>IF(B19='🎯 一鍵查詢'!$C$5,COUNTIF($B$2:B19,'🎯 一鍵查詢'!$C$5),"")</f>
        <v/>
      </c>
    </row>
    <row r="20">
      <c r="A20" t="n">
        <v>13191</v>
      </c>
      <c r="B20" t="n">
        <v>1319</v>
      </c>
      <c r="C20">
        <f>IF(B20='🎯 一鍵查詢'!$C$5,COUNTIF($B$2:B20,'🎯 一鍵查詢'!$C$5),"")</f>
        <v/>
      </c>
    </row>
    <row r="21">
      <c r="A21" t="n">
        <v>13361</v>
      </c>
      <c r="B21" t="n">
        <v>1336</v>
      </c>
      <c r="C21">
        <f>IF(B21='🎯 一鍵查詢'!$C$5,COUNTIF($B$2:B21,'🎯 一鍵查詢'!$C$5),"")</f>
        <v/>
      </c>
    </row>
    <row r="22">
      <c r="A22" t="n">
        <v>13371</v>
      </c>
      <c r="B22" t="n">
        <v>1337</v>
      </c>
      <c r="C22">
        <f>IF(B22='🎯 一鍵查詢'!$C$5,COUNTIF($B$2:B22,'🎯 一鍵查詢'!$C$5),"")</f>
        <v/>
      </c>
    </row>
    <row r="23">
      <c r="A23" t="n">
        <v>13381</v>
      </c>
      <c r="B23" t="n">
        <v>1338</v>
      </c>
      <c r="C23">
        <f>IF(B23='🎯 一鍵查詢'!$C$5,COUNTIF($B$2:B23,'🎯 一鍵查詢'!$C$5),"")</f>
        <v/>
      </c>
    </row>
    <row r="24">
      <c r="A24" t="n">
        <v>13382</v>
      </c>
      <c r="B24" t="n">
        <v>1338</v>
      </c>
      <c r="C24">
        <f>IF(B24='🎯 一鍵查詢'!$C$5,COUNTIF($B$2:B24,'🎯 一鍵查詢'!$C$5),"")</f>
        <v/>
      </c>
    </row>
    <row r="25">
      <c r="A25" t="n">
        <v>13411</v>
      </c>
      <c r="B25" t="n">
        <v>1341</v>
      </c>
      <c r="C25">
        <f>IF(B25='🎯 一鍵查詢'!$C$5,COUNTIF($B$2:B25,'🎯 一鍵查詢'!$C$5),"")</f>
        <v/>
      </c>
    </row>
    <row r="26">
      <c r="A26" t="n">
        <v>13421</v>
      </c>
      <c r="B26" t="n">
        <v>1342</v>
      </c>
      <c r="C26">
        <f>IF(B26='🎯 一鍵查詢'!$C$5,COUNTIF($B$2:B26,'🎯 一鍵查詢'!$C$5),"")</f>
        <v/>
      </c>
    </row>
    <row r="27">
      <c r="A27" t="n">
        <v>14093</v>
      </c>
      <c r="B27" t="n">
        <v>1409</v>
      </c>
      <c r="C27">
        <f>IF(B27='🎯 一鍵查詢'!$C$5,COUNTIF($B$2:B27,'🎯 一鍵查詢'!$C$5),"")</f>
        <v/>
      </c>
    </row>
    <row r="28">
      <c r="A28" t="n">
        <v>14321</v>
      </c>
      <c r="B28" t="n">
        <v>1432</v>
      </c>
      <c r="C28">
        <f>IF(B28='🎯 一鍵查詢'!$C$5,COUNTIF($B$2:B28,'🎯 一鍵查詢'!$C$5),"")</f>
        <v/>
      </c>
    </row>
    <row r="29">
      <c r="A29" t="n">
        <v>14322</v>
      </c>
      <c r="B29" t="n">
        <v>1432</v>
      </c>
      <c r="C29">
        <f>IF(B29='🎯 一鍵查詢'!$C$5,COUNTIF($B$2:B29,'🎯 一鍵查詢'!$C$5),"")</f>
        <v/>
      </c>
    </row>
    <row r="30">
      <c r="A30" t="n">
        <v>14361</v>
      </c>
      <c r="B30" t="n">
        <v>1436</v>
      </c>
      <c r="C30">
        <f>IF(B30='🎯 一鍵查詢'!$C$5,COUNTIF($B$2:B30,'🎯 一鍵查詢'!$C$5),"")</f>
        <v/>
      </c>
    </row>
    <row r="31">
      <c r="A31" t="n">
        <v>14362</v>
      </c>
      <c r="B31" t="n">
        <v>1436</v>
      </c>
      <c r="C31">
        <f>IF(B31='🎯 一鍵查詢'!$C$5,COUNTIF($B$2:B31,'🎯 一鍵查詢'!$C$5),"")</f>
        <v/>
      </c>
    </row>
    <row r="32">
      <c r="A32" t="n">
        <v>14363</v>
      </c>
      <c r="B32" t="n">
        <v>1436</v>
      </c>
      <c r="C32">
        <f>IF(B32='🎯 一鍵查詢'!$C$5,COUNTIF($B$2:B32,'🎯 一鍵查詢'!$C$5),"")</f>
        <v/>
      </c>
    </row>
    <row r="33">
      <c r="A33" t="n">
        <v>14364</v>
      </c>
      <c r="B33" t="n">
        <v>1436</v>
      </c>
      <c r="C33">
        <f>IF(B33='🎯 一鍵查詢'!$C$5,COUNTIF($B$2:B33,'🎯 一鍵查詢'!$C$5),"")</f>
        <v/>
      </c>
    </row>
    <row r="34">
      <c r="A34" t="n">
        <v>14371</v>
      </c>
      <c r="B34" t="n">
        <v>1437</v>
      </c>
      <c r="C34">
        <f>IF(B34='🎯 一鍵查詢'!$C$5,COUNTIF($B$2:B34,'🎯 一鍵查詢'!$C$5),"")</f>
        <v/>
      </c>
    </row>
    <row r="35">
      <c r="A35" t="n">
        <v>14381</v>
      </c>
      <c r="B35" t="n">
        <v>1438</v>
      </c>
      <c r="C35">
        <f>IF(B35='🎯 一鍵查詢'!$C$5,COUNTIF($B$2:B35,'🎯 一鍵查詢'!$C$5),"")</f>
        <v/>
      </c>
    </row>
    <row r="36">
      <c r="A36" t="n">
        <v>14422</v>
      </c>
      <c r="B36" t="n">
        <v>1442</v>
      </c>
      <c r="C36">
        <f>IF(B36='🎯 一鍵查詢'!$C$5,COUNTIF($B$2:B36,'🎯 一鍵查詢'!$C$5),"")</f>
        <v/>
      </c>
    </row>
    <row r="37">
      <c r="A37" t="n">
        <v>14423</v>
      </c>
      <c r="B37" t="n">
        <v>1442</v>
      </c>
      <c r="C37">
        <f>IF(B37='🎯 一鍵查詢'!$C$5,COUNTIF($B$2:B37,'🎯 一鍵查詢'!$C$5),"")</f>
        <v/>
      </c>
    </row>
    <row r="38">
      <c r="A38" t="n">
        <v>14571</v>
      </c>
      <c r="B38" t="n">
        <v>1457</v>
      </c>
      <c r="C38">
        <f>IF(B38='🎯 一鍵查詢'!$C$5,COUNTIF($B$2:B38,'🎯 一鍵查詢'!$C$5),"")</f>
        <v/>
      </c>
    </row>
    <row r="39">
      <c r="A39" t="n">
        <v>14641</v>
      </c>
      <c r="B39" t="n">
        <v>1464</v>
      </c>
      <c r="C39">
        <f>IF(B39='🎯 一鍵查詢'!$C$5,COUNTIF($B$2:B39,'🎯 一鍵查詢'!$C$5),"")</f>
        <v/>
      </c>
    </row>
    <row r="40">
      <c r="A40" t="n">
        <v>14642</v>
      </c>
      <c r="B40" t="n">
        <v>1464</v>
      </c>
      <c r="C40">
        <f>IF(B40='🎯 一鍵查詢'!$C$5,COUNTIF($B$2:B40,'🎯 一鍵查詢'!$C$5),"")</f>
        <v/>
      </c>
    </row>
    <row r="41">
      <c r="A41" t="n">
        <v>14661</v>
      </c>
      <c r="B41" t="n">
        <v>1466</v>
      </c>
      <c r="C41">
        <f>IF(B41='🎯 一鍵查詢'!$C$5,COUNTIF($B$2:B41,'🎯 一鍵查詢'!$C$5),"")</f>
        <v/>
      </c>
    </row>
    <row r="42">
      <c r="A42" t="n">
        <v>14662</v>
      </c>
      <c r="B42" t="n">
        <v>1466</v>
      </c>
      <c r="C42">
        <f>IF(B42='🎯 一鍵查詢'!$C$5,COUNTIF($B$2:B42,'🎯 一鍵查詢'!$C$5),"")</f>
        <v/>
      </c>
    </row>
    <row r="43">
      <c r="A43" t="n">
        <v>14663</v>
      </c>
      <c r="B43" t="n">
        <v>1466</v>
      </c>
      <c r="C43">
        <f>IF(B43='🎯 一鍵查詢'!$C$5,COUNTIF($B$2:B43,'🎯 一鍵查詢'!$C$5),"")</f>
        <v/>
      </c>
    </row>
    <row r="44">
      <c r="A44" t="n">
        <v>14664</v>
      </c>
      <c r="B44" t="n">
        <v>1466</v>
      </c>
      <c r="C44">
        <f>IF(B44='🎯 一鍵查詢'!$C$5,COUNTIF($B$2:B44,'🎯 一鍵查詢'!$C$5),"")</f>
        <v/>
      </c>
    </row>
    <row r="45">
      <c r="A45" t="n">
        <v>14671</v>
      </c>
      <c r="B45" t="n">
        <v>1467</v>
      </c>
      <c r="C45">
        <f>IF(B45='🎯 一鍵查詢'!$C$5,COUNTIF($B$2:B45,'🎯 一鍵查詢'!$C$5),"")</f>
        <v/>
      </c>
    </row>
    <row r="46">
      <c r="A46" t="n">
        <v>14721</v>
      </c>
      <c r="B46" t="n">
        <v>1472</v>
      </c>
      <c r="C46">
        <f>IF(B46='🎯 一鍵查詢'!$C$5,COUNTIF($B$2:B46,'🎯 一鍵查詢'!$C$5),"")</f>
        <v/>
      </c>
    </row>
    <row r="47">
      <c r="A47" t="n">
        <v>14722</v>
      </c>
      <c r="B47" t="n">
        <v>1472</v>
      </c>
      <c r="C47">
        <f>IF(B47='🎯 一鍵查詢'!$C$5,COUNTIF($B$2:B47,'🎯 一鍵查詢'!$C$5),"")</f>
        <v/>
      </c>
    </row>
    <row r="48">
      <c r="A48" t="n">
        <v>14723</v>
      </c>
      <c r="B48" t="n">
        <v>1472</v>
      </c>
      <c r="C48">
        <f>IF(B48='🎯 一鍵查詢'!$C$5,COUNTIF($B$2:B48,'🎯 一鍵查詢'!$C$5),"")</f>
        <v/>
      </c>
    </row>
    <row r="49">
      <c r="A49" t="n">
        <v>14741</v>
      </c>
      <c r="B49" t="n">
        <v>1474</v>
      </c>
      <c r="C49">
        <f>IF(B49='🎯 一鍵查詢'!$C$5,COUNTIF($B$2:B49,'🎯 一鍵查詢'!$C$5),"")</f>
        <v/>
      </c>
    </row>
    <row r="50">
      <c r="A50" t="n">
        <v>14742</v>
      </c>
      <c r="B50" t="n">
        <v>1474</v>
      </c>
      <c r="C50">
        <f>IF(B50='🎯 一鍵查詢'!$C$5,COUNTIF($B$2:B50,'🎯 一鍵查詢'!$C$5),"")</f>
        <v/>
      </c>
    </row>
    <row r="51">
      <c r="A51" t="n">
        <v>14743</v>
      </c>
      <c r="B51" t="n">
        <v>1474</v>
      </c>
      <c r="C51">
        <f>IF(B51='🎯 一鍵查詢'!$C$5,COUNTIF($B$2:B51,'🎯 一鍵查詢'!$C$5),"")</f>
        <v/>
      </c>
    </row>
    <row r="52">
      <c r="A52" t="n">
        <v>14771</v>
      </c>
      <c r="B52" t="n">
        <v>1477</v>
      </c>
      <c r="C52">
        <f>IF(B52='🎯 一鍵查詢'!$C$5,COUNTIF($B$2:B52,'🎯 一鍵查詢'!$C$5),"")</f>
        <v/>
      </c>
    </row>
    <row r="53">
      <c r="A53" t="n">
        <v>14772</v>
      </c>
      <c r="B53" t="n">
        <v>1477</v>
      </c>
      <c r="C53">
        <f>IF(B53='🎯 一鍵查詢'!$C$5,COUNTIF($B$2:B53,'🎯 一鍵查詢'!$C$5),"")</f>
        <v/>
      </c>
    </row>
    <row r="54">
      <c r="A54" t="n">
        <v>14773</v>
      </c>
      <c r="B54" t="n">
        <v>1477</v>
      </c>
      <c r="C54">
        <f>IF(B54='🎯 一鍵查詢'!$C$5,COUNTIF($B$2:B54,'🎯 一鍵查詢'!$C$5),"")</f>
        <v/>
      </c>
    </row>
    <row r="55">
      <c r="A55" t="n">
        <v>14774</v>
      </c>
      <c r="B55" t="n">
        <v>1477</v>
      </c>
      <c r="C55">
        <f>IF(B55='🎯 一鍵查詢'!$C$5,COUNTIF($B$2:B55,'🎯 一鍵查詢'!$C$5),"")</f>
        <v/>
      </c>
    </row>
    <row r="56">
      <c r="A56" t="n">
        <v>15043</v>
      </c>
      <c r="B56" t="n">
        <v>1504</v>
      </c>
      <c r="C56">
        <f>IF(B56='🎯 一鍵查詢'!$C$5,COUNTIF($B$2:B56,'🎯 一鍵查詢'!$C$5),"")</f>
        <v/>
      </c>
    </row>
    <row r="57">
      <c r="A57" t="n">
        <v>15061</v>
      </c>
      <c r="B57" t="n">
        <v>1506</v>
      </c>
      <c r="C57">
        <f>IF(B57='🎯 一鍵查詢'!$C$5,COUNTIF($B$2:B57,'🎯 一鍵查詢'!$C$5),"")</f>
        <v/>
      </c>
    </row>
    <row r="58">
      <c r="A58" t="n">
        <v>15131</v>
      </c>
      <c r="B58" t="n">
        <v>1513</v>
      </c>
      <c r="C58">
        <f>IF(B58='🎯 一鍵查詢'!$C$5,COUNTIF($B$2:B58,'🎯 一鍵查詢'!$C$5),"")</f>
        <v/>
      </c>
    </row>
    <row r="59">
      <c r="A59" t="n">
        <v>15132</v>
      </c>
      <c r="B59" t="n">
        <v>1513</v>
      </c>
      <c r="C59">
        <f>IF(B59='🎯 一鍵查詢'!$C$5,COUNTIF($B$2:B59,'🎯 一鍵查詢'!$C$5),"")</f>
        <v/>
      </c>
    </row>
    <row r="60">
      <c r="A60" t="n">
        <v>15141</v>
      </c>
      <c r="B60" t="n">
        <v>1514</v>
      </c>
      <c r="C60">
        <f>IF(B60='🎯 一鍵查詢'!$C$5,COUNTIF($B$2:B60,'🎯 一鍵查詢'!$C$5),"")</f>
        <v/>
      </c>
    </row>
    <row r="61">
      <c r="A61" t="n">
        <v>15142</v>
      </c>
      <c r="B61" t="n">
        <v>1514</v>
      </c>
      <c r="C61">
        <f>IF(B61='🎯 一鍵查詢'!$C$5,COUNTIF($B$2:B61,'🎯 一鍵查詢'!$C$5),"")</f>
        <v/>
      </c>
    </row>
    <row r="62">
      <c r="A62" t="n">
        <v>15151</v>
      </c>
      <c r="B62" t="n">
        <v>1515</v>
      </c>
      <c r="C62">
        <f>IF(B62='🎯 一鍵查詢'!$C$5,COUNTIF($B$2:B62,'🎯 一鍵查詢'!$C$5),"")</f>
        <v/>
      </c>
    </row>
    <row r="63">
      <c r="A63" t="n">
        <v>15221</v>
      </c>
      <c r="B63" t="n">
        <v>1522</v>
      </c>
      <c r="C63">
        <f>IF(B63='🎯 一鍵查詢'!$C$5,COUNTIF($B$2:B63,'🎯 一鍵查詢'!$C$5),"")</f>
        <v/>
      </c>
    </row>
    <row r="64">
      <c r="A64" t="n">
        <v>15241</v>
      </c>
      <c r="B64" t="n">
        <v>1524</v>
      </c>
      <c r="C64">
        <f>IF(B64='🎯 一鍵查詢'!$C$5,COUNTIF($B$2:B64,'🎯 一鍵查詢'!$C$5),"")</f>
        <v/>
      </c>
    </row>
    <row r="65">
      <c r="A65" t="n">
        <v>15242</v>
      </c>
      <c r="B65" t="n">
        <v>1524</v>
      </c>
      <c r="C65">
        <f>IF(B65='🎯 一鍵查詢'!$C$5,COUNTIF($B$2:B65,'🎯 一鍵查詢'!$C$5),"")</f>
        <v/>
      </c>
    </row>
    <row r="66">
      <c r="A66" t="n">
        <v>15243</v>
      </c>
      <c r="B66" t="n">
        <v>1524</v>
      </c>
      <c r="C66">
        <f>IF(B66='🎯 一鍵查詢'!$C$5,COUNTIF($B$2:B66,'🎯 一鍵查詢'!$C$5),"")</f>
        <v/>
      </c>
    </row>
    <row r="67">
      <c r="A67" t="n">
        <v>15261</v>
      </c>
      <c r="B67" t="n">
        <v>1526</v>
      </c>
      <c r="C67">
        <f>IF(B67='🎯 一鍵查詢'!$C$5,COUNTIF($B$2:B67,'🎯 一鍵查詢'!$C$5),"")</f>
        <v/>
      </c>
    </row>
    <row r="68">
      <c r="A68" t="n">
        <v>15281</v>
      </c>
      <c r="B68" t="n">
        <v>1528</v>
      </c>
      <c r="C68">
        <f>IF(B68='🎯 一鍵查詢'!$C$5,COUNTIF($B$2:B68,'🎯 一鍵查詢'!$C$5),"")</f>
        <v/>
      </c>
    </row>
    <row r="69">
      <c r="A69" t="n">
        <v>15282</v>
      </c>
      <c r="B69" t="n">
        <v>1528</v>
      </c>
      <c r="C69">
        <f>IF(B69='🎯 一鍵查詢'!$C$5,COUNTIF($B$2:B69,'🎯 一鍵查詢'!$C$5),"")</f>
        <v/>
      </c>
    </row>
    <row r="70">
      <c r="A70" t="n">
        <v>15291</v>
      </c>
      <c r="B70" t="n">
        <v>1529</v>
      </c>
      <c r="C70">
        <f>IF(B70='🎯 一鍵查詢'!$C$5,COUNTIF($B$2:B70,'🎯 一鍵查詢'!$C$5),"")</f>
        <v/>
      </c>
    </row>
    <row r="71">
      <c r="A71" t="n">
        <v>15301</v>
      </c>
      <c r="B71" t="n">
        <v>1530</v>
      </c>
      <c r="C71">
        <f>IF(B71='🎯 一鍵查詢'!$C$5,COUNTIF($B$2:B71,'🎯 一鍵查詢'!$C$5),"")</f>
        <v/>
      </c>
    </row>
    <row r="72">
      <c r="A72" t="n">
        <v>15302</v>
      </c>
      <c r="B72" t="n">
        <v>1530</v>
      </c>
      <c r="C72">
        <f>IF(B72='🎯 一鍵查詢'!$C$5,COUNTIF($B$2:B72,'🎯 一鍵查詢'!$C$5),"")</f>
        <v/>
      </c>
    </row>
    <row r="73">
      <c r="A73" t="n">
        <v>15321</v>
      </c>
      <c r="B73" t="n">
        <v>1532</v>
      </c>
      <c r="C73">
        <f>IF(B73='🎯 一鍵查詢'!$C$5,COUNTIF($B$2:B73,'🎯 一鍵查詢'!$C$5),"")</f>
        <v/>
      </c>
    </row>
    <row r="74">
      <c r="A74" t="n">
        <v>15322</v>
      </c>
      <c r="B74" t="n">
        <v>1532</v>
      </c>
      <c r="C74">
        <f>IF(B74='🎯 一鍵查詢'!$C$5,COUNTIF($B$2:B74,'🎯 一鍵查詢'!$C$5),"")</f>
        <v/>
      </c>
    </row>
    <row r="75">
      <c r="A75" t="n">
        <v>15323</v>
      </c>
      <c r="B75" t="n">
        <v>1532</v>
      </c>
      <c r="C75">
        <f>IF(B75='🎯 一鍵查詢'!$C$5,COUNTIF($B$2:B75,'🎯 一鍵查詢'!$C$5),"")</f>
        <v/>
      </c>
    </row>
    <row r="76">
      <c r="A76" t="n">
        <v>15324</v>
      </c>
      <c r="B76" t="n">
        <v>1532</v>
      </c>
      <c r="C76">
        <f>IF(B76='🎯 一鍵查詢'!$C$5,COUNTIF($B$2:B76,'🎯 一鍵查詢'!$C$5),"")</f>
        <v/>
      </c>
    </row>
    <row r="77">
      <c r="A77" t="n">
        <v>15331</v>
      </c>
      <c r="B77" t="n">
        <v>1533</v>
      </c>
      <c r="C77">
        <f>IF(B77='🎯 一鍵查詢'!$C$5,COUNTIF($B$2:B77,'🎯 一鍵查詢'!$C$5),"")</f>
        <v/>
      </c>
    </row>
    <row r="78">
      <c r="A78" t="n">
        <v>15332</v>
      </c>
      <c r="B78" t="n">
        <v>1533</v>
      </c>
      <c r="C78">
        <f>IF(B78='🎯 一鍵查詢'!$C$5,COUNTIF($B$2:B78,'🎯 一鍵查詢'!$C$5),"")</f>
        <v/>
      </c>
    </row>
    <row r="79">
      <c r="A79" t="n">
        <v>15351</v>
      </c>
      <c r="B79" t="n">
        <v>1535</v>
      </c>
      <c r="C79">
        <f>IF(B79='🎯 一鍵查詢'!$C$5,COUNTIF($B$2:B79,'🎯 一鍵查詢'!$C$5),"")</f>
        <v/>
      </c>
    </row>
    <row r="80">
      <c r="A80" t="n">
        <v>15361</v>
      </c>
      <c r="B80" t="n">
        <v>1536</v>
      </c>
      <c r="C80">
        <f>IF(B80='🎯 一鍵查詢'!$C$5,COUNTIF($B$2:B80,'🎯 一鍵查詢'!$C$5),"")</f>
        <v/>
      </c>
    </row>
    <row r="81">
      <c r="A81" t="n">
        <v>15362</v>
      </c>
      <c r="B81" t="n">
        <v>1536</v>
      </c>
      <c r="C81">
        <f>IF(B81='🎯 一鍵查詢'!$C$5,COUNTIF($B$2:B81,'🎯 一鍵查詢'!$C$5),"")</f>
        <v/>
      </c>
    </row>
    <row r="82">
      <c r="A82" t="n">
        <v>15363</v>
      </c>
      <c r="B82" t="n">
        <v>1536</v>
      </c>
      <c r="C82">
        <f>IF(B82='🎯 一鍵查詢'!$C$5,COUNTIF($B$2:B82,'🎯 一鍵查詢'!$C$5),"")</f>
        <v/>
      </c>
    </row>
    <row r="83">
      <c r="A83" t="n">
        <v>15364</v>
      </c>
      <c r="B83" t="n">
        <v>1536</v>
      </c>
      <c r="C83">
        <f>IF(B83='🎯 一鍵查詢'!$C$5,COUNTIF($B$2:B83,'🎯 一鍵查詢'!$C$5),"")</f>
        <v/>
      </c>
    </row>
    <row r="84">
      <c r="A84" t="n">
        <v>15371</v>
      </c>
      <c r="B84" t="n">
        <v>1537</v>
      </c>
      <c r="C84">
        <f>IF(B84='🎯 一鍵查詢'!$C$5,COUNTIF($B$2:B84,'🎯 一鍵查詢'!$C$5),"")</f>
        <v/>
      </c>
    </row>
    <row r="85">
      <c r="A85" t="n">
        <v>15411</v>
      </c>
      <c r="B85" t="n">
        <v>1541</v>
      </c>
      <c r="C85">
        <f>IF(B85='🎯 一鍵查詢'!$C$5,COUNTIF($B$2:B85,'🎯 一鍵查詢'!$C$5),"")</f>
        <v/>
      </c>
    </row>
    <row r="86">
      <c r="A86" t="n">
        <v>15601</v>
      </c>
      <c r="B86" t="n">
        <v>1560</v>
      </c>
      <c r="C86">
        <f>IF(B86='🎯 一鍵查詢'!$C$5,COUNTIF($B$2:B86,'🎯 一鍵查詢'!$C$5),"")</f>
        <v/>
      </c>
    </row>
    <row r="87">
      <c r="A87" t="n">
        <v>15661</v>
      </c>
      <c r="B87" t="n">
        <v>1566</v>
      </c>
      <c r="C87">
        <f>IF(B87='🎯 一鍵查詢'!$C$5,COUNTIF($B$2:B87,'🎯 一鍵查詢'!$C$5),"")</f>
        <v/>
      </c>
    </row>
    <row r="88">
      <c r="A88" t="n">
        <v>15691</v>
      </c>
      <c r="B88" t="n">
        <v>1569</v>
      </c>
      <c r="C88">
        <f>IF(B88='🎯 一鍵查詢'!$C$5,COUNTIF($B$2:B88,'🎯 一鍵查詢'!$C$5),"")</f>
        <v/>
      </c>
    </row>
    <row r="89">
      <c r="A89" t="n">
        <v>15692</v>
      </c>
      <c r="B89" t="n">
        <v>1569</v>
      </c>
      <c r="C89">
        <f>IF(B89='🎯 一鍵查詢'!$C$5,COUNTIF($B$2:B89,'🎯 一鍵查詢'!$C$5),"")</f>
        <v/>
      </c>
    </row>
    <row r="90">
      <c r="A90" t="n">
        <v>15693</v>
      </c>
      <c r="B90" t="n">
        <v>1569</v>
      </c>
      <c r="C90">
        <f>IF(B90='🎯 一鍵查詢'!$C$5,COUNTIF($B$2:B90,'🎯 一鍵查詢'!$C$5),"")</f>
        <v/>
      </c>
    </row>
    <row r="91">
      <c r="A91" t="n">
        <v>15694</v>
      </c>
      <c r="B91" t="n">
        <v>1569</v>
      </c>
      <c r="C91">
        <f>IF(B91='🎯 一鍵查詢'!$C$5,COUNTIF($B$2:B91,'🎯 一鍵查詢'!$C$5),"")</f>
        <v/>
      </c>
    </row>
    <row r="92">
      <c r="A92" t="n">
        <v>15695</v>
      </c>
      <c r="B92" t="n">
        <v>1569</v>
      </c>
      <c r="C92">
        <f>IF(B92='🎯 一鍵查詢'!$C$5,COUNTIF($B$2:B92,'🎯 一鍵查詢'!$C$5),"")</f>
        <v/>
      </c>
    </row>
    <row r="93">
      <c r="A93" t="n">
        <v>15696</v>
      </c>
      <c r="B93" t="n">
        <v>1569</v>
      </c>
      <c r="C93">
        <f>IF(B93='🎯 一鍵查詢'!$C$5,COUNTIF($B$2:B93,'🎯 一鍵查詢'!$C$5),"")</f>
        <v/>
      </c>
    </row>
    <row r="94">
      <c r="A94" t="n">
        <v>15821</v>
      </c>
      <c r="B94" t="n">
        <v>1582</v>
      </c>
      <c r="C94">
        <f>IF(B94='🎯 一鍵查詢'!$C$5,COUNTIF($B$2:B94,'🎯 一鍵查詢'!$C$5),"")</f>
        <v/>
      </c>
    </row>
    <row r="95">
      <c r="A95" t="n">
        <v>15822</v>
      </c>
      <c r="B95" t="n">
        <v>1582</v>
      </c>
      <c r="C95">
        <f>IF(B95='🎯 一鍵查詢'!$C$5,COUNTIF($B$2:B95,'🎯 一鍵查詢'!$C$5),"")</f>
        <v/>
      </c>
    </row>
    <row r="96">
      <c r="A96" t="n">
        <v>15823</v>
      </c>
      <c r="B96" t="n">
        <v>1582</v>
      </c>
      <c r="C96">
        <f>IF(B96='🎯 一鍵查詢'!$C$5,COUNTIF($B$2:B96,'🎯 一鍵查詢'!$C$5),"")</f>
        <v/>
      </c>
    </row>
    <row r="97">
      <c r="A97" t="n">
        <v>15831</v>
      </c>
      <c r="B97" t="n">
        <v>1583</v>
      </c>
      <c r="C97">
        <f>IF(B97='🎯 一鍵查詢'!$C$5,COUNTIF($B$2:B97,'🎯 一鍵查詢'!$C$5),"")</f>
        <v/>
      </c>
    </row>
    <row r="98">
      <c r="A98" t="n">
        <v>15841</v>
      </c>
      <c r="B98" t="n">
        <v>1584</v>
      </c>
      <c r="C98">
        <f>IF(B98='🎯 一鍵查詢'!$C$5,COUNTIF($B$2:B98,'🎯 一鍵查詢'!$C$5),"")</f>
        <v/>
      </c>
    </row>
    <row r="99">
      <c r="A99" t="n">
        <v>15842</v>
      </c>
      <c r="B99" t="n">
        <v>1584</v>
      </c>
      <c r="C99">
        <f>IF(B99='🎯 一鍵查詢'!$C$5,COUNTIF($B$2:B99,'🎯 一鍵查詢'!$C$5),"")</f>
        <v/>
      </c>
    </row>
    <row r="100">
      <c r="A100" t="n">
        <v>15861</v>
      </c>
      <c r="B100" t="n">
        <v>1586</v>
      </c>
      <c r="C100">
        <f>IF(B100='🎯 一鍵查詢'!$C$5,COUNTIF($B$2:B100,'🎯 一鍵查詢'!$C$5),"")</f>
        <v/>
      </c>
    </row>
    <row r="101">
      <c r="A101" t="n">
        <v>15862</v>
      </c>
      <c r="B101" t="n">
        <v>1586</v>
      </c>
      <c r="C101">
        <f>IF(B101='🎯 一鍵查詢'!$C$5,COUNTIF($B$2:B101,'🎯 一鍵查詢'!$C$5),"")</f>
        <v/>
      </c>
    </row>
    <row r="102">
      <c r="A102" t="n">
        <v>15863</v>
      </c>
      <c r="B102" t="n">
        <v>1586</v>
      </c>
      <c r="C102">
        <f>IF(B102='🎯 一鍵查詢'!$C$5,COUNTIF($B$2:B102,'🎯 一鍵查詢'!$C$5),"")</f>
        <v/>
      </c>
    </row>
    <row r="103">
      <c r="A103" t="n">
        <v>15864</v>
      </c>
      <c r="B103" t="n">
        <v>1586</v>
      </c>
      <c r="C103">
        <f>IF(B103='🎯 一鍵查詢'!$C$5,COUNTIF($B$2:B103,'🎯 一鍵查詢'!$C$5),"")</f>
        <v/>
      </c>
    </row>
    <row r="104">
      <c r="A104" t="n">
        <v>15865</v>
      </c>
      <c r="B104" t="n">
        <v>1586</v>
      </c>
      <c r="C104">
        <f>IF(B104='🎯 一鍵查詢'!$C$5,COUNTIF($B$2:B104,'🎯 一鍵查詢'!$C$5),"")</f>
        <v/>
      </c>
    </row>
    <row r="105">
      <c r="A105" t="n">
        <v>15891</v>
      </c>
      <c r="B105" t="n">
        <v>1589</v>
      </c>
      <c r="C105">
        <f>IF(B105='🎯 一鍵查詢'!$C$5,COUNTIF($B$2:B105,'🎯 一鍵查詢'!$C$5),"")</f>
        <v/>
      </c>
    </row>
    <row r="106">
      <c r="A106" t="n">
        <v>15892</v>
      </c>
      <c r="B106" t="n">
        <v>1589</v>
      </c>
      <c r="C106">
        <f>IF(B106='🎯 一鍵查詢'!$C$5,COUNTIF($B$2:B106,'🎯 一鍵查詢'!$C$5),"")</f>
        <v/>
      </c>
    </row>
    <row r="107">
      <c r="A107" t="n">
        <v>15893</v>
      </c>
      <c r="B107" t="n">
        <v>1589</v>
      </c>
      <c r="C107">
        <f>IF(B107='🎯 一鍵查詢'!$C$5,COUNTIF($B$2:B107,'🎯 一鍵查詢'!$C$5),"")</f>
        <v/>
      </c>
    </row>
    <row r="108">
      <c r="A108" t="n">
        <v>15894</v>
      </c>
      <c r="B108" t="n">
        <v>1589</v>
      </c>
      <c r="C108">
        <f>IF(B108='🎯 一鍵查詢'!$C$5,COUNTIF($B$2:B108,'🎯 一鍵查詢'!$C$5),"")</f>
        <v/>
      </c>
    </row>
    <row r="109">
      <c r="A109" t="n">
        <v>15921</v>
      </c>
      <c r="B109" t="n">
        <v>1592</v>
      </c>
      <c r="C109">
        <f>IF(B109='🎯 一鍵查詢'!$C$5,COUNTIF($B$2:B109,'🎯 一鍵查詢'!$C$5),"")</f>
        <v/>
      </c>
    </row>
    <row r="110">
      <c r="A110" t="n">
        <v>15931</v>
      </c>
      <c r="B110" t="n">
        <v>1593</v>
      </c>
      <c r="C110">
        <f>IF(B110='🎯 一鍵查詢'!$C$5,COUNTIF($B$2:B110,'🎯 一鍵查詢'!$C$5),"")</f>
        <v/>
      </c>
    </row>
    <row r="111">
      <c r="A111" t="n">
        <v>15932</v>
      </c>
      <c r="B111" t="n">
        <v>1593</v>
      </c>
      <c r="C111">
        <f>IF(B111='🎯 一鍵查詢'!$C$5,COUNTIF($B$2:B111,'🎯 一鍵查詢'!$C$5),"")</f>
        <v/>
      </c>
    </row>
    <row r="112">
      <c r="A112" t="n">
        <v>15951</v>
      </c>
      <c r="B112" t="n">
        <v>1595</v>
      </c>
      <c r="C112">
        <f>IF(B112='🎯 一鍵查詢'!$C$5,COUNTIF($B$2:B112,'🎯 一鍵查詢'!$C$5),"")</f>
        <v/>
      </c>
    </row>
    <row r="113">
      <c r="A113" t="n">
        <v>15952</v>
      </c>
      <c r="B113" t="n">
        <v>1595</v>
      </c>
      <c r="C113">
        <f>IF(B113='🎯 一鍵查詢'!$C$5,COUNTIF($B$2:B113,'🎯 一鍵查詢'!$C$5),"")</f>
        <v/>
      </c>
    </row>
    <row r="114">
      <c r="A114" t="n">
        <v>15981</v>
      </c>
      <c r="B114" t="n">
        <v>1598</v>
      </c>
      <c r="C114">
        <f>IF(B114='🎯 一鍵查詢'!$C$5,COUNTIF($B$2:B114,'🎯 一鍵查詢'!$C$5),"")</f>
        <v/>
      </c>
    </row>
    <row r="115">
      <c r="A115" t="n">
        <v>15982</v>
      </c>
      <c r="B115" t="n">
        <v>1598</v>
      </c>
      <c r="C115">
        <f>IF(B115='🎯 一鍵查詢'!$C$5,COUNTIF($B$2:B115,'🎯 一鍵查詢'!$C$5),"")</f>
        <v/>
      </c>
    </row>
    <row r="116">
      <c r="A116" t="n">
        <v>15983</v>
      </c>
      <c r="B116" t="n">
        <v>1598</v>
      </c>
      <c r="C116">
        <f>IF(B116='🎯 一鍵查詢'!$C$5,COUNTIF($B$2:B116,'🎯 一鍵查詢'!$C$5),"")</f>
        <v/>
      </c>
    </row>
    <row r="117">
      <c r="A117" t="n">
        <v>15984</v>
      </c>
      <c r="B117" t="n">
        <v>1598</v>
      </c>
      <c r="C117">
        <f>IF(B117='🎯 一鍵查詢'!$C$5,COUNTIF($B$2:B117,'🎯 一鍵查詢'!$C$5),"")</f>
        <v/>
      </c>
    </row>
    <row r="118">
      <c r="A118" t="n">
        <v>15991</v>
      </c>
      <c r="B118" t="n">
        <v>1599</v>
      </c>
      <c r="C118">
        <f>IF(B118='🎯 一鍵查詢'!$C$5,COUNTIF($B$2:B118,'🎯 一鍵查詢'!$C$5),"")</f>
        <v/>
      </c>
    </row>
    <row r="119">
      <c r="A119" t="n">
        <v>16031</v>
      </c>
      <c r="B119" t="n">
        <v>1603</v>
      </c>
      <c r="C119">
        <f>IF(B119='🎯 一鍵查詢'!$C$5,COUNTIF($B$2:B119,'🎯 一鍵查詢'!$C$5),"")</f>
        <v/>
      </c>
    </row>
    <row r="120">
      <c r="A120" t="n">
        <v>16062</v>
      </c>
      <c r="B120" t="n">
        <v>1606</v>
      </c>
      <c r="C120">
        <f>IF(B120='🎯 一鍵查詢'!$C$5,COUNTIF($B$2:B120,'🎯 一鍵查詢'!$C$5),"")</f>
        <v/>
      </c>
    </row>
    <row r="121">
      <c r="A121" t="n">
        <v>16091</v>
      </c>
      <c r="B121" t="n">
        <v>1609</v>
      </c>
      <c r="C121">
        <f>IF(B121='🎯 一鍵查詢'!$C$5,COUNTIF($B$2:B121,'🎯 一鍵查詢'!$C$5),"")</f>
        <v/>
      </c>
    </row>
    <row r="122">
      <c r="A122" t="n">
        <v>16092</v>
      </c>
      <c r="B122" t="n">
        <v>1609</v>
      </c>
      <c r="C122">
        <f>IF(B122='🎯 一鍵查詢'!$C$5,COUNTIF($B$2:B122,'🎯 一鍵查詢'!$C$5),"")</f>
        <v/>
      </c>
    </row>
    <row r="123">
      <c r="A123" t="n">
        <v>16093</v>
      </c>
      <c r="B123" t="n">
        <v>1609</v>
      </c>
      <c r="C123">
        <f>IF(B123='🎯 一鍵查詢'!$C$5,COUNTIF($B$2:B123,'🎯 一鍵查詢'!$C$5),"")</f>
        <v/>
      </c>
    </row>
    <row r="124">
      <c r="A124" t="n">
        <v>16094</v>
      </c>
      <c r="B124" t="n">
        <v>1609</v>
      </c>
      <c r="C124">
        <f>IF(B124='🎯 一鍵查詢'!$C$5,COUNTIF($B$2:B124,'🎯 一鍵查詢'!$C$5),"")</f>
        <v/>
      </c>
    </row>
    <row r="125">
      <c r="A125" t="n">
        <v>16095</v>
      </c>
      <c r="B125" t="n">
        <v>1609</v>
      </c>
      <c r="C125">
        <f>IF(B125='🎯 一鍵查詢'!$C$5,COUNTIF($B$2:B125,'🎯 一鍵查詢'!$C$5),"")</f>
        <v/>
      </c>
    </row>
    <row r="126">
      <c r="A126" t="n">
        <v>16111</v>
      </c>
      <c r="B126" t="n">
        <v>1611</v>
      </c>
      <c r="C126">
        <f>IF(B126='🎯 一鍵查詢'!$C$5,COUNTIF($B$2:B126,'🎯 一鍵查詢'!$C$5),"")</f>
        <v/>
      </c>
    </row>
    <row r="127">
      <c r="A127" t="n">
        <v>16112</v>
      </c>
      <c r="B127" t="n">
        <v>1611</v>
      </c>
      <c r="C127">
        <f>IF(B127='🎯 一鍵查詢'!$C$5,COUNTIF($B$2:B127,'🎯 一鍵查詢'!$C$5),"")</f>
        <v/>
      </c>
    </row>
    <row r="128">
      <c r="A128" t="n">
        <v>16161</v>
      </c>
      <c r="B128" t="n">
        <v>1616</v>
      </c>
      <c r="C128">
        <f>IF(B128='🎯 一鍵查詢'!$C$5,COUNTIF($B$2:B128,'🎯 一鍵查詢'!$C$5),"")</f>
        <v/>
      </c>
    </row>
    <row r="129">
      <c r="A129" t="n">
        <v>16171</v>
      </c>
      <c r="B129" t="n">
        <v>1617</v>
      </c>
      <c r="C129">
        <f>IF(B129='🎯 一鍵查詢'!$C$5,COUNTIF($B$2:B129,'🎯 一鍵查詢'!$C$5),"")</f>
        <v/>
      </c>
    </row>
    <row r="130">
      <c r="A130" t="n">
        <v>16172</v>
      </c>
      <c r="B130" t="n">
        <v>1617</v>
      </c>
      <c r="C130">
        <f>IF(B130='🎯 一鍵查詢'!$C$5,COUNTIF($B$2:B130,'🎯 一鍵查詢'!$C$5),"")</f>
        <v/>
      </c>
    </row>
    <row r="131">
      <c r="A131" t="n">
        <v>16173</v>
      </c>
      <c r="B131" t="n">
        <v>1617</v>
      </c>
      <c r="C131">
        <f>IF(B131='🎯 一鍵查詢'!$C$5,COUNTIF($B$2:B131,'🎯 一鍵查詢'!$C$5),"")</f>
        <v/>
      </c>
    </row>
    <row r="132">
      <c r="A132" t="n">
        <v>16181</v>
      </c>
      <c r="B132" t="n">
        <v>1618</v>
      </c>
      <c r="C132">
        <f>IF(B132='🎯 一鍵查詢'!$C$5,COUNTIF($B$2:B132,'🎯 一鍵查詢'!$C$5),"")</f>
        <v/>
      </c>
    </row>
    <row r="133">
      <c r="A133" t="n">
        <v>16261</v>
      </c>
      <c r="B133" t="n">
        <v>1626</v>
      </c>
      <c r="C133">
        <f>IF(B133='🎯 一鍵查詢'!$C$5,COUNTIF($B$2:B133,'🎯 一鍵查詢'!$C$5),"")</f>
        <v/>
      </c>
    </row>
    <row r="134">
      <c r="A134" t="n">
        <v>16262</v>
      </c>
      <c r="B134" t="n">
        <v>1626</v>
      </c>
      <c r="C134">
        <f>IF(B134='🎯 一鍵查詢'!$C$5,COUNTIF($B$2:B134,'🎯 一鍵查詢'!$C$5),"")</f>
        <v/>
      </c>
    </row>
    <row r="135">
      <c r="A135" t="n">
        <v>16263</v>
      </c>
      <c r="B135" t="n">
        <v>1626</v>
      </c>
      <c r="C135">
        <f>IF(B135='🎯 一鍵查詢'!$C$5,COUNTIF($B$2:B135,'🎯 一鍵查詢'!$C$5),"")</f>
        <v/>
      </c>
    </row>
    <row r="136">
      <c r="A136" t="n">
        <v>16264</v>
      </c>
      <c r="B136" t="n">
        <v>1626</v>
      </c>
      <c r="C136">
        <f>IF(B136='🎯 一鍵查詢'!$C$5,COUNTIF($B$2:B136,'🎯 一鍵查詢'!$C$5),"")</f>
        <v/>
      </c>
    </row>
    <row r="137">
      <c r="A137" t="n">
        <v>17043</v>
      </c>
      <c r="B137" t="n">
        <v>1704</v>
      </c>
      <c r="C137">
        <f>IF(B137='🎯 一鍵查詢'!$C$5,COUNTIF($B$2:B137,'🎯 一鍵查詢'!$C$5),"")</f>
        <v/>
      </c>
    </row>
    <row r="138">
      <c r="A138" t="n">
        <v>17071</v>
      </c>
      <c r="B138" t="n">
        <v>1707</v>
      </c>
      <c r="C138">
        <f>IF(B138='🎯 一鍵查詢'!$C$5,COUNTIF($B$2:B138,'🎯 一鍵查詢'!$C$5),"")</f>
        <v/>
      </c>
    </row>
    <row r="139">
      <c r="A139" t="n">
        <v>17091</v>
      </c>
      <c r="B139" t="n">
        <v>1709</v>
      </c>
      <c r="C139">
        <f>IF(B139='🎯 一鍵查詢'!$C$5,COUNTIF($B$2:B139,'🎯 一鍵查詢'!$C$5),"")</f>
        <v/>
      </c>
    </row>
    <row r="140">
      <c r="A140" t="n">
        <v>17121</v>
      </c>
      <c r="B140" t="n">
        <v>1712</v>
      </c>
      <c r="C140">
        <f>IF(B140='🎯 一鍵查詢'!$C$5,COUNTIF($B$2:B140,'🎯 一鍵查詢'!$C$5),"")</f>
        <v/>
      </c>
    </row>
    <row r="141">
      <c r="A141" t="n">
        <v>17151</v>
      </c>
      <c r="B141" t="n">
        <v>1715</v>
      </c>
      <c r="C141">
        <f>IF(B141='🎯 一鍵查詢'!$C$5,COUNTIF($B$2:B141,'🎯 一鍵查詢'!$C$5),"")</f>
        <v/>
      </c>
    </row>
    <row r="142">
      <c r="A142" t="n">
        <v>17152</v>
      </c>
      <c r="B142" t="n">
        <v>1715</v>
      </c>
      <c r="C142">
        <f>IF(B142='🎯 一鍵查詢'!$C$5,COUNTIF($B$2:B142,'🎯 一鍵查詢'!$C$5),"")</f>
        <v/>
      </c>
    </row>
    <row r="143">
      <c r="A143" t="n">
        <v>17153</v>
      </c>
      <c r="B143" t="n">
        <v>1715</v>
      </c>
      <c r="C143">
        <f>IF(B143='🎯 一鍵查詢'!$C$5,COUNTIF($B$2:B143,'🎯 一鍵查詢'!$C$5),"")</f>
        <v/>
      </c>
    </row>
    <row r="144">
      <c r="A144" t="n">
        <v>17202</v>
      </c>
      <c r="B144" t="n">
        <v>1720</v>
      </c>
      <c r="C144">
        <f>IF(B144='🎯 一鍵查詢'!$C$5,COUNTIF($B$2:B144,'🎯 一鍵查詢'!$C$5),"")</f>
        <v/>
      </c>
    </row>
    <row r="145">
      <c r="A145" t="n">
        <v>17203</v>
      </c>
      <c r="B145" t="n">
        <v>1720</v>
      </c>
      <c r="C145">
        <f>IF(B145='🎯 一鍵查詢'!$C$5,COUNTIF($B$2:B145,'🎯 一鍵查詢'!$C$5),"")</f>
        <v/>
      </c>
    </row>
    <row r="146">
      <c r="A146" t="n">
        <v>17271</v>
      </c>
      <c r="B146" t="n">
        <v>1727</v>
      </c>
      <c r="C146">
        <f>IF(B146='🎯 一鍵查詢'!$C$5,COUNTIF($B$2:B146,'🎯 一鍵查詢'!$C$5),"")</f>
        <v/>
      </c>
    </row>
    <row r="147">
      <c r="A147" t="n">
        <v>17291</v>
      </c>
      <c r="B147" t="n">
        <v>1729</v>
      </c>
      <c r="C147">
        <f>IF(B147='🎯 一鍵查詢'!$C$5,COUNTIF($B$2:B147,'🎯 一鍵查詢'!$C$5),"")</f>
        <v/>
      </c>
    </row>
    <row r="148">
      <c r="A148" t="n">
        <v>17292</v>
      </c>
      <c r="B148" t="n">
        <v>1729</v>
      </c>
      <c r="C148">
        <f>IF(B148='🎯 一鍵查詢'!$C$5,COUNTIF($B$2:B148,'🎯 一鍵查詢'!$C$5),"")</f>
        <v/>
      </c>
    </row>
    <row r="149">
      <c r="A149" t="n">
        <v>17301</v>
      </c>
      <c r="B149" t="n">
        <v>1730</v>
      </c>
      <c r="C149">
        <f>IF(B149='🎯 一鍵查詢'!$C$5,COUNTIF($B$2:B149,'🎯 一鍵查詢'!$C$5),"")</f>
        <v/>
      </c>
    </row>
    <row r="150">
      <c r="A150" t="n">
        <v>17331</v>
      </c>
      <c r="B150" t="n">
        <v>1733</v>
      </c>
      <c r="C150">
        <f>IF(B150='🎯 一鍵查詢'!$C$5,COUNTIF($B$2:B150,'🎯 一鍵查詢'!$C$5),"")</f>
        <v/>
      </c>
    </row>
    <row r="151">
      <c r="A151" t="n">
        <v>17332</v>
      </c>
      <c r="B151" t="n">
        <v>1733</v>
      </c>
      <c r="C151">
        <f>IF(B151='🎯 一鍵查詢'!$C$5,COUNTIF($B$2:B151,'🎯 一鍵查詢'!$C$5),"")</f>
        <v/>
      </c>
    </row>
    <row r="152">
      <c r="A152" t="n">
        <v>17333</v>
      </c>
      <c r="B152" t="n">
        <v>1733</v>
      </c>
      <c r="C152">
        <f>IF(B152='🎯 一鍵查詢'!$C$5,COUNTIF($B$2:B152,'🎯 一鍵查詢'!$C$5),"")</f>
        <v/>
      </c>
    </row>
    <row r="153">
      <c r="A153" t="n">
        <v>17341</v>
      </c>
      <c r="B153" t="n">
        <v>1734</v>
      </c>
      <c r="C153">
        <f>IF(B153='🎯 一鍵查詢'!$C$5,COUNTIF($B$2:B153,'🎯 一鍵查詢'!$C$5),"")</f>
        <v/>
      </c>
    </row>
    <row r="154">
      <c r="A154" t="n">
        <v>17351</v>
      </c>
      <c r="B154" t="n">
        <v>1735</v>
      </c>
      <c r="C154">
        <f>IF(B154='🎯 一鍵查詢'!$C$5,COUNTIF($B$2:B154,'🎯 一鍵查詢'!$C$5),"")</f>
        <v/>
      </c>
    </row>
    <row r="155">
      <c r="A155" t="n">
        <v>17521</v>
      </c>
      <c r="B155" t="n">
        <v>1752</v>
      </c>
      <c r="C155">
        <f>IF(B155='🎯 一鍵查詢'!$C$5,COUNTIF($B$2:B155,'🎯 一鍵查詢'!$C$5),"")</f>
        <v/>
      </c>
    </row>
    <row r="156">
      <c r="A156" t="n">
        <v>17522</v>
      </c>
      <c r="B156" t="n">
        <v>1752</v>
      </c>
      <c r="C156">
        <f>IF(B156='🎯 一鍵查詢'!$C$5,COUNTIF($B$2:B156,'🎯 一鍵查詢'!$C$5),"")</f>
        <v/>
      </c>
    </row>
    <row r="157">
      <c r="A157" t="n">
        <v>17811</v>
      </c>
      <c r="B157" t="n">
        <v>1781</v>
      </c>
      <c r="C157">
        <f>IF(B157='🎯 一鍵查詢'!$C$5,COUNTIF($B$2:B157,'🎯 一鍵查詢'!$C$5),"")</f>
        <v/>
      </c>
    </row>
    <row r="158">
      <c r="A158" t="n">
        <v>17812</v>
      </c>
      <c r="B158" t="n">
        <v>1781</v>
      </c>
      <c r="C158">
        <f>IF(B158='🎯 一鍵查詢'!$C$5,COUNTIF($B$2:B158,'🎯 一鍵查詢'!$C$5),"")</f>
        <v/>
      </c>
    </row>
    <row r="159">
      <c r="A159" t="n">
        <v>17813</v>
      </c>
      <c r="B159" t="n">
        <v>1781</v>
      </c>
      <c r="C159">
        <f>IF(B159='🎯 一鍵查詢'!$C$5,COUNTIF($B$2:B159,'🎯 一鍵查詢'!$C$5),"")</f>
        <v/>
      </c>
    </row>
    <row r="160">
      <c r="A160" t="n">
        <v>17841</v>
      </c>
      <c r="B160" t="n">
        <v>1784</v>
      </c>
      <c r="C160">
        <f>IF(B160='🎯 一鍵查詢'!$C$5,COUNTIF($B$2:B160,'🎯 一鍵查詢'!$C$5),"")</f>
        <v/>
      </c>
    </row>
    <row r="161">
      <c r="A161" t="n">
        <v>17851</v>
      </c>
      <c r="B161" t="n">
        <v>1785</v>
      </c>
      <c r="C161">
        <f>IF(B161='🎯 一鍵查詢'!$C$5,COUNTIF($B$2:B161,'🎯 一鍵查詢'!$C$5),"")</f>
        <v/>
      </c>
    </row>
    <row r="162">
      <c r="A162" t="n">
        <v>17852</v>
      </c>
      <c r="B162" t="n">
        <v>1785</v>
      </c>
      <c r="C162">
        <f>IF(B162='🎯 一鍵查詢'!$C$5,COUNTIF($B$2:B162,'🎯 一鍵查詢'!$C$5),"")</f>
        <v/>
      </c>
    </row>
    <row r="163">
      <c r="A163" t="n">
        <v>17861</v>
      </c>
      <c r="B163" t="n">
        <v>1786</v>
      </c>
      <c r="C163">
        <f>IF(B163='🎯 一鍵查詢'!$C$5,COUNTIF($B$2:B163,'🎯 一鍵查詢'!$C$5),"")</f>
        <v/>
      </c>
    </row>
    <row r="164">
      <c r="A164" t="n">
        <v>17862</v>
      </c>
      <c r="B164" t="n">
        <v>1786</v>
      </c>
      <c r="C164">
        <f>IF(B164='🎯 一鍵查詢'!$C$5,COUNTIF($B$2:B164,'🎯 一鍵查詢'!$C$5),"")</f>
        <v/>
      </c>
    </row>
    <row r="165">
      <c r="A165" t="n">
        <v>17863</v>
      </c>
      <c r="B165" t="n">
        <v>1786</v>
      </c>
      <c r="C165">
        <f>IF(B165='🎯 一鍵查詢'!$C$5,COUNTIF($B$2:B165,'🎯 一鍵查詢'!$C$5),"")</f>
        <v/>
      </c>
    </row>
    <row r="166">
      <c r="A166" t="n">
        <v>17871</v>
      </c>
      <c r="B166" t="n">
        <v>1787</v>
      </c>
      <c r="C166">
        <f>IF(B166='🎯 一鍵查詢'!$C$5,COUNTIF($B$2:B166,'🎯 一鍵查詢'!$C$5),"")</f>
        <v/>
      </c>
    </row>
    <row r="167">
      <c r="A167" t="n">
        <v>17872</v>
      </c>
      <c r="B167" t="n">
        <v>1787</v>
      </c>
      <c r="C167">
        <f>IF(B167='🎯 一鍵查詢'!$C$5,COUNTIF($B$2:B167,'🎯 一鍵查詢'!$C$5),"")</f>
        <v/>
      </c>
    </row>
    <row r="168">
      <c r="A168" t="n">
        <v>17881</v>
      </c>
      <c r="B168" t="n">
        <v>1788</v>
      </c>
      <c r="C168">
        <f>IF(B168='🎯 一鍵查詢'!$C$5,COUNTIF($B$2:B168,'🎯 一鍵查詢'!$C$5),"")</f>
        <v/>
      </c>
    </row>
    <row r="169">
      <c r="A169" t="n">
        <v>17951</v>
      </c>
      <c r="B169" t="n">
        <v>1795</v>
      </c>
      <c r="C169">
        <f>IF(B169='🎯 一鍵查詢'!$C$5,COUNTIF($B$2:B169,'🎯 一鍵查詢'!$C$5),"")</f>
        <v/>
      </c>
    </row>
    <row r="170">
      <c r="A170" t="n">
        <v>17952</v>
      </c>
      <c r="B170" t="n">
        <v>1795</v>
      </c>
      <c r="C170">
        <f>IF(B170='🎯 一鍵查詢'!$C$5,COUNTIF($B$2:B170,'🎯 一鍵查詢'!$C$5),"")</f>
        <v/>
      </c>
    </row>
    <row r="171">
      <c r="A171" t="n">
        <v>17953</v>
      </c>
      <c r="B171" t="n">
        <v>1795</v>
      </c>
      <c r="C171">
        <f>IF(B171='🎯 一鍵查詢'!$C$5,COUNTIF($B$2:B171,'🎯 一鍵查詢'!$C$5),"")</f>
        <v/>
      </c>
    </row>
    <row r="172">
      <c r="A172" t="n">
        <v>17961</v>
      </c>
      <c r="B172" t="n">
        <v>1796</v>
      </c>
      <c r="C172">
        <f>IF(B172='🎯 一鍵查詢'!$C$5,COUNTIF($B$2:B172,'🎯 一鍵查詢'!$C$5),"")</f>
        <v/>
      </c>
    </row>
    <row r="173">
      <c r="A173" t="n">
        <v>17991</v>
      </c>
      <c r="B173" t="n">
        <v>1799</v>
      </c>
      <c r="C173">
        <f>IF(B173='🎯 一鍵查詢'!$C$5,COUNTIF($B$2:B173,'🎯 一鍵查詢'!$C$5),"")</f>
        <v/>
      </c>
    </row>
    <row r="174">
      <c r="A174" t="n">
        <v>18051</v>
      </c>
      <c r="B174" t="n">
        <v>1805</v>
      </c>
      <c r="C174">
        <f>IF(B174='🎯 一鍵查詢'!$C$5,COUNTIF($B$2:B174,'🎯 一鍵查詢'!$C$5),"")</f>
        <v/>
      </c>
    </row>
    <row r="175">
      <c r="A175" t="n">
        <v>18061</v>
      </c>
      <c r="B175" t="n">
        <v>1806</v>
      </c>
      <c r="C175">
        <f>IF(B175='🎯 一鍵查詢'!$C$5,COUNTIF($B$2:B175,'🎯 一鍵查詢'!$C$5),"")</f>
        <v/>
      </c>
    </row>
    <row r="176">
      <c r="A176" t="n">
        <v>18062</v>
      </c>
      <c r="B176" t="n">
        <v>1806</v>
      </c>
      <c r="C176">
        <f>IF(B176='🎯 一鍵查詢'!$C$5,COUNTIF($B$2:B176,'🎯 一鍵查詢'!$C$5),"")</f>
        <v/>
      </c>
    </row>
    <row r="177">
      <c r="A177" t="n">
        <v>18081</v>
      </c>
      <c r="B177" t="n">
        <v>1808</v>
      </c>
      <c r="C177">
        <f>IF(B177='🎯 一鍵查詢'!$C$5,COUNTIF($B$2:B177,'🎯 一鍵查詢'!$C$5),"")</f>
        <v/>
      </c>
    </row>
    <row r="178">
      <c r="A178" t="n">
        <v>18082</v>
      </c>
      <c r="B178" t="n">
        <v>1808</v>
      </c>
      <c r="C178">
        <f>IF(B178='🎯 一鍵查詢'!$C$5,COUNTIF($B$2:B178,'🎯 一鍵查詢'!$C$5),"")</f>
        <v/>
      </c>
    </row>
    <row r="179">
      <c r="A179" t="n">
        <v>18083</v>
      </c>
      <c r="B179" t="n">
        <v>1808</v>
      </c>
      <c r="C179">
        <f>IF(B179='🎯 一鍵查詢'!$C$5,COUNTIF($B$2:B179,'🎯 一鍵查詢'!$C$5),"")</f>
        <v/>
      </c>
    </row>
    <row r="180">
      <c r="A180" t="n">
        <v>18131</v>
      </c>
      <c r="B180" t="n">
        <v>1813</v>
      </c>
      <c r="C180">
        <f>IF(B180='🎯 一鍵查詢'!$C$5,COUNTIF($B$2:B180,'🎯 一鍵查詢'!$C$5),"")</f>
        <v/>
      </c>
    </row>
    <row r="181">
      <c r="A181" t="n">
        <v>18151</v>
      </c>
      <c r="B181" t="n">
        <v>1815</v>
      </c>
      <c r="C181">
        <f>IF(B181='🎯 一鍵查詢'!$C$5,COUNTIF($B$2:B181,'🎯 一鍵查詢'!$C$5),"")</f>
        <v/>
      </c>
    </row>
    <row r="182">
      <c r="A182" t="n">
        <v>18152</v>
      </c>
      <c r="B182" t="n">
        <v>1815</v>
      </c>
      <c r="C182">
        <f>IF(B182='🎯 一鍵查詢'!$C$5,COUNTIF($B$2:B182,'🎯 一鍵查詢'!$C$5),"")</f>
        <v/>
      </c>
    </row>
    <row r="183">
      <c r="A183" t="n">
        <v>18153</v>
      </c>
      <c r="B183" t="n">
        <v>1815</v>
      </c>
      <c r="C183">
        <f>IF(B183='🎯 一鍵查詢'!$C$5,COUNTIF($B$2:B183,'🎯 一鍵查詢'!$C$5),"")</f>
        <v/>
      </c>
    </row>
    <row r="184">
      <c r="A184" t="n">
        <v>18154</v>
      </c>
      <c r="B184" t="n">
        <v>1815</v>
      </c>
      <c r="C184">
        <f>IF(B184='🎯 一鍵查詢'!$C$5,COUNTIF($B$2:B184,'🎯 一鍵查詢'!$C$5),"")</f>
        <v/>
      </c>
    </row>
    <row r="185">
      <c r="A185" t="n">
        <v>18155</v>
      </c>
      <c r="B185" t="n">
        <v>1815</v>
      </c>
      <c r="C185">
        <f>IF(B185='🎯 一鍵查詢'!$C$5,COUNTIF($B$2:B185,'🎯 一鍵查詢'!$C$5),"")</f>
        <v/>
      </c>
    </row>
    <row r="186">
      <c r="A186" t="n">
        <v>18156</v>
      </c>
      <c r="B186" t="n">
        <v>1815</v>
      </c>
      <c r="C186">
        <f>IF(B186='🎯 一鍵查詢'!$C$5,COUNTIF($B$2:B186,'🎯 一鍵查詢'!$C$5),"")</f>
        <v/>
      </c>
    </row>
    <row r="187">
      <c r="A187" t="n">
        <v>19021</v>
      </c>
      <c r="B187" t="n">
        <v>1902</v>
      </c>
      <c r="C187">
        <f>IF(B187='🎯 一鍵查詢'!$C$5,COUNTIF($B$2:B187,'🎯 一鍵查詢'!$C$5),"")</f>
        <v/>
      </c>
    </row>
    <row r="188">
      <c r="A188" t="n">
        <v>19022</v>
      </c>
      <c r="B188" t="n">
        <v>1902</v>
      </c>
      <c r="C188">
        <f>IF(B188='🎯 一鍵查詢'!$C$5,COUNTIF($B$2:B188,'🎯 一鍵查詢'!$C$5),"")</f>
        <v/>
      </c>
    </row>
    <row r="189">
      <c r="A189" t="n">
        <v>19023</v>
      </c>
      <c r="B189" t="n">
        <v>1902</v>
      </c>
      <c r="C189">
        <f>IF(B189='🎯 一鍵查詢'!$C$5,COUNTIF($B$2:B189,'🎯 一鍵查詢'!$C$5),"")</f>
        <v/>
      </c>
    </row>
    <row r="190">
      <c r="A190" t="n">
        <v>19093</v>
      </c>
      <c r="B190" t="n">
        <v>1909</v>
      </c>
      <c r="C190">
        <f>IF(B190='🎯 一鍵查詢'!$C$5,COUNTIF($B$2:B190,'🎯 一鍵查詢'!$C$5),"")</f>
        <v/>
      </c>
    </row>
    <row r="191">
      <c r="A191" t="n">
        <v>19094</v>
      </c>
      <c r="B191" t="n">
        <v>1909</v>
      </c>
      <c r="C191">
        <f>IF(B191='🎯 一鍵查詢'!$C$5,COUNTIF($B$2:B191,'🎯 一鍵查詢'!$C$5),"")</f>
        <v/>
      </c>
    </row>
    <row r="192">
      <c r="A192" t="n">
        <v>20062</v>
      </c>
      <c r="B192" t="n">
        <v>2006</v>
      </c>
      <c r="C192">
        <f>IF(B192='🎯 一鍵查詢'!$C$5,COUNTIF($B$2:B192,'🎯 一鍵查詢'!$C$5),"")</f>
        <v/>
      </c>
    </row>
    <row r="193">
      <c r="A193" t="n">
        <v>20063</v>
      </c>
      <c r="B193" t="n">
        <v>2006</v>
      </c>
      <c r="C193">
        <f>IF(B193='🎯 一鍵查詢'!$C$5,COUNTIF($B$2:B193,'🎯 一鍵查詢'!$C$5),"")</f>
        <v/>
      </c>
    </row>
    <row r="194">
      <c r="A194" t="n">
        <v>20064</v>
      </c>
      <c r="B194" t="n">
        <v>2006</v>
      </c>
      <c r="C194">
        <f>IF(B194='🎯 一鍵查詢'!$C$5,COUNTIF($B$2:B194,'🎯 一鍵查詢'!$C$5),"")</f>
        <v/>
      </c>
    </row>
    <row r="195">
      <c r="A195" t="n">
        <v>20065</v>
      </c>
      <c r="B195" t="n">
        <v>2006</v>
      </c>
      <c r="C195">
        <f>IF(B195='🎯 一鍵查詢'!$C$5,COUNTIF($B$2:B195,'🎯 一鍵查詢'!$C$5),"")</f>
        <v/>
      </c>
    </row>
    <row r="196">
      <c r="A196" t="n">
        <v>20066</v>
      </c>
      <c r="B196" t="n">
        <v>2006</v>
      </c>
      <c r="C196">
        <f>IF(B196='🎯 一鍵查詢'!$C$5,COUNTIF($B$2:B196,'🎯 一鍵查詢'!$C$5),"")</f>
        <v/>
      </c>
    </row>
    <row r="197">
      <c r="A197" t="n">
        <v>20067</v>
      </c>
      <c r="B197" t="n">
        <v>2006</v>
      </c>
      <c r="C197">
        <f>IF(B197='🎯 一鍵查詢'!$C$5,COUNTIF($B$2:B197,'🎯 一鍵查詢'!$C$5),"")</f>
        <v/>
      </c>
    </row>
    <row r="198">
      <c r="A198" t="n">
        <v>20121</v>
      </c>
      <c r="B198" t="n">
        <v>2012</v>
      </c>
      <c r="C198">
        <f>IF(B198='🎯 一鍵查詢'!$C$5,COUNTIF($B$2:B198,'🎯 一鍵查詢'!$C$5),"")</f>
        <v/>
      </c>
    </row>
    <row r="199">
      <c r="A199" t="n">
        <v>20122</v>
      </c>
      <c r="B199" t="n">
        <v>2012</v>
      </c>
      <c r="C199">
        <f>IF(B199='🎯 一鍵查詢'!$C$5,COUNTIF($B$2:B199,'🎯 一鍵查詢'!$C$5),"")</f>
        <v/>
      </c>
    </row>
    <row r="200">
      <c r="A200" t="n">
        <v>20123</v>
      </c>
      <c r="B200" t="n">
        <v>2012</v>
      </c>
      <c r="C200">
        <f>IF(B200='🎯 一鍵查詢'!$C$5,COUNTIF($B$2:B200,'🎯 一鍵查詢'!$C$5),"")</f>
        <v/>
      </c>
    </row>
    <row r="201">
      <c r="A201" t="n">
        <v>20201</v>
      </c>
      <c r="B201" t="n">
        <v>2020</v>
      </c>
      <c r="C201">
        <f>IF(B201='🎯 一鍵查詢'!$C$5,COUNTIF($B$2:B201,'🎯 一鍵查詢'!$C$5),"")</f>
        <v/>
      </c>
    </row>
    <row r="202">
      <c r="A202" t="n">
        <v>20202</v>
      </c>
      <c r="B202" t="n">
        <v>2020</v>
      </c>
      <c r="C202">
        <f>IF(B202='🎯 一鍵查詢'!$C$5,COUNTIF($B$2:B202,'🎯 一鍵查詢'!$C$5),"")</f>
        <v/>
      </c>
    </row>
    <row r="203">
      <c r="A203" t="n">
        <v>20203</v>
      </c>
      <c r="B203" t="n">
        <v>2020</v>
      </c>
      <c r="C203">
        <f>IF(B203='🎯 一鍵查詢'!$C$5,COUNTIF($B$2:B203,'🎯 一鍵查詢'!$C$5),"")</f>
        <v/>
      </c>
    </row>
    <row r="204">
      <c r="A204" t="n">
        <v>20221</v>
      </c>
      <c r="B204" t="n">
        <v>2022</v>
      </c>
      <c r="C204">
        <f>IF(B204='🎯 一鍵查詢'!$C$5,COUNTIF($B$2:B204,'🎯 一鍵查詢'!$C$5),"")</f>
        <v/>
      </c>
    </row>
    <row r="205">
      <c r="A205" t="n">
        <v>20222</v>
      </c>
      <c r="B205" t="n">
        <v>2022</v>
      </c>
      <c r="C205">
        <f>IF(B205='🎯 一鍵查詢'!$C$5,COUNTIF($B$2:B205,'🎯 一鍵查詢'!$C$5),"")</f>
        <v/>
      </c>
    </row>
    <row r="206">
      <c r="A206" t="n">
        <v>20223</v>
      </c>
      <c r="B206" t="n">
        <v>2022</v>
      </c>
      <c r="C206">
        <f>IF(B206='🎯 一鍵查詢'!$C$5,COUNTIF($B$2:B206,'🎯 一鍵查詢'!$C$5),"")</f>
        <v/>
      </c>
    </row>
    <row r="207">
      <c r="A207" t="n">
        <v>20224</v>
      </c>
      <c r="B207" t="n">
        <v>2022</v>
      </c>
      <c r="C207">
        <f>IF(B207='🎯 一鍵查詢'!$C$5,COUNTIF($B$2:B207,'🎯 一鍵查詢'!$C$5),"")</f>
        <v/>
      </c>
    </row>
    <row r="208">
      <c r="A208" t="n">
        <v>20231</v>
      </c>
      <c r="B208" t="n">
        <v>2023</v>
      </c>
      <c r="C208">
        <f>IF(B208='🎯 一鍵查詢'!$C$5,COUNTIF($B$2:B208,'🎯 一鍵查詢'!$C$5),"")</f>
        <v/>
      </c>
    </row>
    <row r="209">
      <c r="A209" t="n">
        <v>20271</v>
      </c>
      <c r="B209" t="n">
        <v>2027</v>
      </c>
      <c r="C209">
        <f>IF(B209='🎯 一鍵查詢'!$C$5,COUNTIF($B$2:B209,'🎯 一鍵查詢'!$C$5),"")</f>
        <v/>
      </c>
    </row>
    <row r="210">
      <c r="A210" t="n">
        <v>20301</v>
      </c>
      <c r="B210" t="n">
        <v>2030</v>
      </c>
      <c r="C210">
        <f>IF(B210='🎯 一鍵查詢'!$C$5,COUNTIF($B$2:B210,'🎯 一鍵查詢'!$C$5),"")</f>
        <v/>
      </c>
    </row>
    <row r="211">
      <c r="A211" t="n">
        <v>20311</v>
      </c>
      <c r="B211" t="n">
        <v>2031</v>
      </c>
      <c r="C211">
        <f>IF(B211='🎯 一鍵查詢'!$C$5,COUNTIF($B$2:B211,'🎯 一鍵查詢'!$C$5),"")</f>
        <v/>
      </c>
    </row>
    <row r="212">
      <c r="A212" t="n">
        <v>20312</v>
      </c>
      <c r="B212" t="n">
        <v>2031</v>
      </c>
      <c r="C212">
        <f>IF(B212='🎯 一鍵查詢'!$C$5,COUNTIF($B$2:B212,'🎯 一鍵查詢'!$C$5),"")</f>
        <v/>
      </c>
    </row>
    <row r="213">
      <c r="A213" t="n">
        <v>20313</v>
      </c>
      <c r="B213" t="n">
        <v>2031</v>
      </c>
      <c r="C213">
        <f>IF(B213='🎯 一鍵查詢'!$C$5,COUNTIF($B$2:B213,'🎯 一鍵查詢'!$C$5),"")</f>
        <v/>
      </c>
    </row>
    <row r="214">
      <c r="A214" t="n">
        <v>20314</v>
      </c>
      <c r="B214" t="n">
        <v>2031</v>
      </c>
      <c r="C214">
        <f>IF(B214='🎯 一鍵查詢'!$C$5,COUNTIF($B$2:B214,'🎯 一鍵查詢'!$C$5),"")</f>
        <v/>
      </c>
    </row>
    <row r="215">
      <c r="A215" t="n">
        <v>20315</v>
      </c>
      <c r="B215" t="n">
        <v>2031</v>
      </c>
      <c r="C215">
        <f>IF(B215='🎯 一鍵查詢'!$C$5,COUNTIF($B$2:B215,'🎯 一鍵查詢'!$C$5),"")</f>
        <v/>
      </c>
    </row>
    <row r="216">
      <c r="A216" t="n">
        <v>20321</v>
      </c>
      <c r="B216" t="n">
        <v>2032</v>
      </c>
      <c r="C216">
        <f>IF(B216='🎯 一鍵查詢'!$C$5,COUNTIF($B$2:B216,'🎯 一鍵查詢'!$C$5),"")</f>
        <v/>
      </c>
    </row>
    <row r="217">
      <c r="A217" t="n">
        <v>20341</v>
      </c>
      <c r="B217" t="n">
        <v>2034</v>
      </c>
      <c r="C217">
        <f>IF(B217='🎯 一鍵查詢'!$C$5,COUNTIF($B$2:B217,'🎯 一鍵查詢'!$C$5),"")</f>
        <v/>
      </c>
    </row>
    <row r="218">
      <c r="A218" t="n">
        <v>20342</v>
      </c>
      <c r="B218" t="n">
        <v>2034</v>
      </c>
      <c r="C218">
        <f>IF(B218='🎯 一鍵查詢'!$C$5,COUNTIF($B$2:B218,'🎯 一鍵查詢'!$C$5),"")</f>
        <v/>
      </c>
    </row>
    <row r="219">
      <c r="A219" t="n">
        <v>20343</v>
      </c>
      <c r="B219" t="n">
        <v>2034</v>
      </c>
      <c r="C219">
        <f>IF(B219='🎯 一鍵查詢'!$C$5,COUNTIF($B$2:B219,'🎯 一鍵查詢'!$C$5),"")</f>
        <v/>
      </c>
    </row>
    <row r="220">
      <c r="A220" t="n">
        <v>20344</v>
      </c>
      <c r="B220" t="n">
        <v>2034</v>
      </c>
      <c r="C220">
        <f>IF(B220='🎯 一鍵查詢'!$C$5,COUNTIF($B$2:B220,'🎯 一鍵查詢'!$C$5),"")</f>
        <v/>
      </c>
    </row>
    <row r="221">
      <c r="A221" t="n">
        <v>20381</v>
      </c>
      <c r="B221" t="n">
        <v>2038</v>
      </c>
      <c r="C221">
        <f>IF(B221='🎯 一鍵查詢'!$C$5,COUNTIF($B$2:B221,'🎯 一鍵查詢'!$C$5),"")</f>
        <v/>
      </c>
    </row>
    <row r="222">
      <c r="A222" t="n">
        <v>20382</v>
      </c>
      <c r="B222" t="n">
        <v>2038</v>
      </c>
      <c r="C222">
        <f>IF(B222='🎯 一鍵查詢'!$C$5,COUNTIF($B$2:B222,'🎯 一鍵查詢'!$C$5),"")</f>
        <v/>
      </c>
    </row>
    <row r="223">
      <c r="A223" t="n">
        <v>20591</v>
      </c>
      <c r="B223" t="n">
        <v>2059</v>
      </c>
      <c r="C223">
        <f>IF(B223='🎯 一鍵查詢'!$C$5,COUNTIF($B$2:B223,'🎯 一鍵查詢'!$C$5),"")</f>
        <v/>
      </c>
    </row>
    <row r="224">
      <c r="A224" t="n">
        <v>20592</v>
      </c>
      <c r="B224" t="n">
        <v>2059</v>
      </c>
      <c r="C224">
        <f>IF(B224='🎯 一鍵查詢'!$C$5,COUNTIF($B$2:B224,'🎯 一鍵查詢'!$C$5),"")</f>
        <v/>
      </c>
    </row>
    <row r="225">
      <c r="A225" t="n">
        <v>20611</v>
      </c>
      <c r="B225" t="n">
        <v>2061</v>
      </c>
      <c r="C225">
        <f>IF(B225='🎯 一鍵查詢'!$C$5,COUNTIF($B$2:B225,'🎯 一鍵查詢'!$C$5),"")</f>
        <v/>
      </c>
    </row>
    <row r="226">
      <c r="A226" t="n">
        <v>20612</v>
      </c>
      <c r="B226" t="n">
        <v>2061</v>
      </c>
      <c r="C226">
        <f>IF(B226='🎯 一鍵查詢'!$C$5,COUNTIF($B$2:B226,'🎯 一鍵查詢'!$C$5),"")</f>
        <v/>
      </c>
    </row>
    <row r="227">
      <c r="A227" t="n">
        <v>20631</v>
      </c>
      <c r="B227" t="n">
        <v>2063</v>
      </c>
      <c r="C227">
        <f>IF(B227='🎯 一鍵查詢'!$C$5,COUNTIF($B$2:B227,'🎯 一鍵查詢'!$C$5),"")</f>
        <v/>
      </c>
    </row>
    <row r="228">
      <c r="A228" t="n">
        <v>20632</v>
      </c>
      <c r="B228" t="n">
        <v>2063</v>
      </c>
      <c r="C228">
        <f>IF(B228='🎯 一鍵查詢'!$C$5,COUNTIF($B$2:B228,'🎯 一鍵查詢'!$C$5),"")</f>
        <v/>
      </c>
    </row>
    <row r="229">
      <c r="A229" t="n">
        <v>20651</v>
      </c>
      <c r="B229" t="n">
        <v>2065</v>
      </c>
      <c r="C229">
        <f>IF(B229='🎯 一鍵查詢'!$C$5,COUNTIF($B$2:B229,'🎯 一鍵查詢'!$C$5),"")</f>
        <v/>
      </c>
    </row>
    <row r="230">
      <c r="A230" t="n">
        <v>20652</v>
      </c>
      <c r="B230" t="n">
        <v>2065</v>
      </c>
      <c r="C230">
        <f>IF(B230='🎯 一鍵查詢'!$C$5,COUNTIF($B$2:B230,'🎯 一鍵查詢'!$C$5),"")</f>
        <v/>
      </c>
    </row>
    <row r="231">
      <c r="A231" t="n">
        <v>20661</v>
      </c>
      <c r="B231" t="n">
        <v>2066</v>
      </c>
      <c r="C231">
        <f>IF(B231='🎯 一鍵查詢'!$C$5,COUNTIF($B$2:B231,'🎯 一鍵查詢'!$C$5),"")</f>
        <v/>
      </c>
    </row>
    <row r="232">
      <c r="A232" t="n">
        <v>20662</v>
      </c>
      <c r="B232" t="n">
        <v>2066</v>
      </c>
      <c r="C232">
        <f>IF(B232='🎯 一鍵查詢'!$C$5,COUNTIF($B$2:B232,'🎯 一鍵查詢'!$C$5),"")</f>
        <v/>
      </c>
    </row>
    <row r="233">
      <c r="A233" t="n">
        <v>20691</v>
      </c>
      <c r="B233" t="n">
        <v>2069</v>
      </c>
      <c r="C233">
        <f>IF(B233='🎯 一鍵查詢'!$C$5,COUNTIF($B$2:B233,'🎯 一鍵查詢'!$C$5),"")</f>
        <v/>
      </c>
    </row>
    <row r="234">
      <c r="A234" t="n">
        <v>20692</v>
      </c>
      <c r="B234" t="n">
        <v>2069</v>
      </c>
      <c r="C234">
        <f>IF(B234='🎯 一鍵查詢'!$C$5,COUNTIF($B$2:B234,'🎯 一鍵查詢'!$C$5),"")</f>
        <v/>
      </c>
    </row>
    <row r="235">
      <c r="A235" t="n">
        <v>20693</v>
      </c>
      <c r="B235" t="n">
        <v>2069</v>
      </c>
      <c r="C235">
        <f>IF(B235='🎯 一鍵查詢'!$C$5,COUNTIF($B$2:B235,'🎯 一鍵查詢'!$C$5),"")</f>
        <v/>
      </c>
    </row>
    <row r="236">
      <c r="A236" t="n">
        <v>20694</v>
      </c>
      <c r="B236" t="n">
        <v>2069</v>
      </c>
      <c r="C236">
        <f>IF(B236='🎯 一鍵查詢'!$C$5,COUNTIF($B$2:B236,'🎯 一鍵查詢'!$C$5),"")</f>
        <v/>
      </c>
    </row>
    <row r="237">
      <c r="A237" t="n">
        <v>21011</v>
      </c>
      <c r="B237" t="n">
        <v>2101</v>
      </c>
      <c r="C237">
        <f>IF(B237='🎯 一鍵查詢'!$C$5,COUNTIF($B$2:B237,'🎯 一鍵查詢'!$C$5),"")</f>
        <v/>
      </c>
    </row>
    <row r="238">
      <c r="A238" t="n">
        <v>21031</v>
      </c>
      <c r="B238" t="n">
        <v>2103</v>
      </c>
      <c r="C238">
        <f>IF(B238='🎯 一鍵查詢'!$C$5,COUNTIF($B$2:B238,'🎯 一鍵查詢'!$C$5),"")</f>
        <v/>
      </c>
    </row>
    <row r="239">
      <c r="A239" t="n">
        <v>21043</v>
      </c>
      <c r="B239" t="n">
        <v>2104</v>
      </c>
      <c r="C239">
        <f>IF(B239='🎯 一鍵查詢'!$C$5,COUNTIF($B$2:B239,'🎯 一鍵查詢'!$C$5),"")</f>
        <v/>
      </c>
    </row>
    <row r="240">
      <c r="A240" t="n">
        <v>21071</v>
      </c>
      <c r="B240" t="n">
        <v>2107</v>
      </c>
      <c r="C240">
        <f>IF(B240='🎯 一鍵查詢'!$C$5,COUNTIF($B$2:B240,'🎯 一鍵查詢'!$C$5),"")</f>
        <v/>
      </c>
    </row>
    <row r="241">
      <c r="A241" t="n">
        <v>21091</v>
      </c>
      <c r="B241" t="n">
        <v>2109</v>
      </c>
      <c r="C241">
        <f>IF(B241='🎯 一鍵查詢'!$C$5,COUNTIF($B$2:B241,'🎯 一鍵查詢'!$C$5),"")</f>
        <v/>
      </c>
    </row>
    <row r="242">
      <c r="A242" t="n">
        <v>21141</v>
      </c>
      <c r="B242" t="n">
        <v>2114</v>
      </c>
      <c r="C242">
        <f>IF(B242='🎯 一鍵查詢'!$C$5,COUNTIF($B$2:B242,'🎯 一鍵查詢'!$C$5),"")</f>
        <v/>
      </c>
    </row>
    <row r="243">
      <c r="A243" t="n">
        <v>21151</v>
      </c>
      <c r="B243" t="n">
        <v>2115</v>
      </c>
      <c r="C243">
        <f>IF(B243='🎯 一鍵查詢'!$C$5,COUNTIF($B$2:B243,'🎯 一鍵查詢'!$C$5),"")</f>
        <v/>
      </c>
    </row>
    <row r="244">
      <c r="A244" t="n">
        <v>22012</v>
      </c>
      <c r="B244" t="n">
        <v>2201</v>
      </c>
      <c r="C244">
        <f>IF(B244='🎯 一鍵查詢'!$C$5,COUNTIF($B$2:B244,'🎯 一鍵查詢'!$C$5),"")</f>
        <v/>
      </c>
    </row>
    <row r="245">
      <c r="A245" t="n">
        <v>22013</v>
      </c>
      <c r="B245" t="n">
        <v>2201</v>
      </c>
      <c r="C245">
        <f>IF(B245='🎯 一鍵查詢'!$C$5,COUNTIF($B$2:B245,'🎯 一鍵查詢'!$C$5),"")</f>
        <v/>
      </c>
    </row>
    <row r="246">
      <c r="A246" t="n">
        <v>22043</v>
      </c>
      <c r="B246" t="n">
        <v>2204</v>
      </c>
      <c r="C246">
        <f>IF(B246='🎯 一鍵查詢'!$C$5,COUNTIF($B$2:B246,'🎯 一鍵查詢'!$C$5),"")</f>
        <v/>
      </c>
    </row>
    <row r="247">
      <c r="A247" t="n">
        <v>22081</v>
      </c>
      <c r="B247" t="n">
        <v>2208</v>
      </c>
      <c r="C247">
        <f>IF(B247='🎯 一鍵查詢'!$C$5,COUNTIF($B$2:B247,'🎯 一鍵查詢'!$C$5),"")</f>
        <v/>
      </c>
    </row>
    <row r="248">
      <c r="A248" t="n">
        <v>22281</v>
      </c>
      <c r="B248" t="n">
        <v>2228</v>
      </c>
      <c r="C248">
        <f>IF(B248='🎯 一鍵查詢'!$C$5,COUNTIF($B$2:B248,'🎯 一鍵查詢'!$C$5),"")</f>
        <v/>
      </c>
    </row>
    <row r="249">
      <c r="A249" t="n">
        <v>22282</v>
      </c>
      <c r="B249" t="n">
        <v>2228</v>
      </c>
      <c r="C249">
        <f>IF(B249='🎯 一鍵查詢'!$C$5,COUNTIF($B$2:B249,'🎯 一鍵查詢'!$C$5),"")</f>
        <v/>
      </c>
    </row>
    <row r="250">
      <c r="A250" t="n">
        <v>22283</v>
      </c>
      <c r="B250" t="n">
        <v>2228</v>
      </c>
      <c r="C250">
        <f>IF(B250='🎯 一鍵查詢'!$C$5,COUNTIF($B$2:B250,'🎯 一鍵查詢'!$C$5),"")</f>
        <v/>
      </c>
    </row>
    <row r="251">
      <c r="A251" t="n">
        <v>22301</v>
      </c>
      <c r="B251" t="n">
        <v>2230</v>
      </c>
      <c r="C251">
        <f>IF(B251='🎯 一鍵查詢'!$C$5,COUNTIF($B$2:B251,'🎯 一鍵查詢'!$C$5),"")</f>
        <v/>
      </c>
    </row>
    <row r="252">
      <c r="A252" t="n">
        <v>22302</v>
      </c>
      <c r="B252" t="n">
        <v>2230</v>
      </c>
      <c r="C252">
        <f>IF(B252='🎯 一鍵查詢'!$C$5,COUNTIF($B$2:B252,'🎯 一鍵查詢'!$C$5),"")</f>
        <v/>
      </c>
    </row>
    <row r="253">
      <c r="A253" t="n">
        <v>22303</v>
      </c>
      <c r="B253" t="n">
        <v>2230</v>
      </c>
      <c r="C253">
        <f>IF(B253='🎯 一鍵查詢'!$C$5,COUNTIF($B$2:B253,'🎯 一鍵查詢'!$C$5),"")</f>
        <v/>
      </c>
    </row>
    <row r="254">
      <c r="A254" t="n">
        <v>22304</v>
      </c>
      <c r="B254" t="n">
        <v>2230</v>
      </c>
      <c r="C254">
        <f>IF(B254='🎯 一鍵查詢'!$C$5,COUNTIF($B$2:B254,'🎯 一鍵查詢'!$C$5),"")</f>
        <v/>
      </c>
    </row>
    <row r="255">
      <c r="A255" t="n">
        <v>22311</v>
      </c>
      <c r="B255" t="n">
        <v>2231</v>
      </c>
      <c r="C255">
        <f>IF(B255='🎯 一鍵查詢'!$C$5,COUNTIF($B$2:B255,'🎯 一鍵查詢'!$C$5),"")</f>
        <v/>
      </c>
    </row>
    <row r="256">
      <c r="A256" t="n">
        <v>22312</v>
      </c>
      <c r="B256" t="n">
        <v>2231</v>
      </c>
      <c r="C256">
        <f>IF(B256='🎯 一鍵查詢'!$C$5,COUNTIF($B$2:B256,'🎯 一鍵查詢'!$C$5),"")</f>
        <v/>
      </c>
    </row>
    <row r="257">
      <c r="A257" t="n">
        <v>22313</v>
      </c>
      <c r="B257" t="n">
        <v>2231</v>
      </c>
      <c r="C257">
        <f>IF(B257='🎯 一鍵查詢'!$C$5,COUNTIF($B$2:B257,'🎯 一鍵查詢'!$C$5),"")</f>
        <v/>
      </c>
    </row>
    <row r="258">
      <c r="A258" t="n">
        <v>22331</v>
      </c>
      <c r="B258" t="n">
        <v>2233</v>
      </c>
      <c r="C258">
        <f>IF(B258='🎯 一鍵查詢'!$C$5,COUNTIF($B$2:B258,'🎯 一鍵查詢'!$C$5),"")</f>
        <v/>
      </c>
    </row>
    <row r="259">
      <c r="A259" t="n">
        <v>22361</v>
      </c>
      <c r="B259" t="n">
        <v>2236</v>
      </c>
      <c r="C259">
        <f>IF(B259='🎯 一鍵查詢'!$C$5,COUNTIF($B$2:B259,'🎯 一鍵查詢'!$C$5),"")</f>
        <v/>
      </c>
    </row>
    <row r="260">
      <c r="A260" t="n">
        <v>22362</v>
      </c>
      <c r="B260" t="n">
        <v>2236</v>
      </c>
      <c r="C260">
        <f>IF(B260='🎯 一鍵查詢'!$C$5,COUNTIF($B$2:B260,'🎯 一鍵查詢'!$C$5),"")</f>
        <v/>
      </c>
    </row>
    <row r="261">
      <c r="A261" t="n">
        <v>22363</v>
      </c>
      <c r="B261" t="n">
        <v>2236</v>
      </c>
      <c r="C261">
        <f>IF(B261='🎯 一鍵查詢'!$C$5,COUNTIF($B$2:B261,'🎯 一鍵查詢'!$C$5),"")</f>
        <v/>
      </c>
    </row>
    <row r="262">
      <c r="A262" t="n">
        <v>22391</v>
      </c>
      <c r="B262" t="n">
        <v>2239</v>
      </c>
      <c r="C262">
        <f>IF(B262='🎯 一鍵查詢'!$C$5,COUNTIF($B$2:B262,'🎯 一鍵查詢'!$C$5),"")</f>
        <v/>
      </c>
    </row>
    <row r="263">
      <c r="A263" t="n">
        <v>22392</v>
      </c>
      <c r="B263" t="n">
        <v>2239</v>
      </c>
      <c r="C263">
        <f>IF(B263='🎯 一鍵查詢'!$C$5,COUNTIF($B$2:B263,'🎯 一鍵查詢'!$C$5),"")</f>
        <v/>
      </c>
    </row>
    <row r="264">
      <c r="A264" t="n">
        <v>22393</v>
      </c>
      <c r="B264" t="n">
        <v>2239</v>
      </c>
      <c r="C264">
        <f>IF(B264='🎯 一鍵查詢'!$C$5,COUNTIF($B$2:B264,'🎯 一鍵查詢'!$C$5),"")</f>
        <v/>
      </c>
    </row>
    <row r="265">
      <c r="A265" t="n">
        <v>22431</v>
      </c>
      <c r="B265" t="n">
        <v>2243</v>
      </c>
      <c r="C265">
        <f>IF(B265='🎯 一鍵查詢'!$C$5,COUNTIF($B$2:B265,'🎯 一鍵查詢'!$C$5),"")</f>
        <v/>
      </c>
    </row>
    <row r="266">
      <c r="A266" t="n">
        <v>22471</v>
      </c>
      <c r="B266" t="n">
        <v>2247</v>
      </c>
      <c r="C266">
        <f>IF(B266='🎯 一鍵查詢'!$C$5,COUNTIF($B$2:B266,'🎯 一鍵查詢'!$C$5),"")</f>
        <v/>
      </c>
    </row>
    <row r="267">
      <c r="A267" t="n">
        <v>22472</v>
      </c>
      <c r="B267" t="n">
        <v>2247</v>
      </c>
      <c r="C267">
        <f>IF(B267='🎯 一鍵查詢'!$C$5,COUNTIF($B$2:B267,'🎯 一鍵查詢'!$C$5),"")</f>
        <v/>
      </c>
    </row>
    <row r="268">
      <c r="A268" t="n">
        <v>22501</v>
      </c>
      <c r="B268" t="n">
        <v>2250</v>
      </c>
      <c r="C268">
        <f>IF(B268='🎯 一鍵查詢'!$C$5,COUNTIF($B$2:B268,'🎯 一鍵查詢'!$C$5),"")</f>
        <v/>
      </c>
    </row>
    <row r="269">
      <c r="A269" t="n">
        <v>23131</v>
      </c>
      <c r="B269" t="n">
        <v>2313</v>
      </c>
      <c r="C269">
        <f>IF(B269='🎯 一鍵查詢'!$C$5,COUNTIF($B$2:B269,'🎯 一鍵查詢'!$C$5),"")</f>
        <v/>
      </c>
    </row>
    <row r="270">
      <c r="A270" t="n">
        <v>23132</v>
      </c>
      <c r="B270" t="n">
        <v>2313</v>
      </c>
      <c r="C270">
        <f>IF(B270='🎯 一鍵查詢'!$C$5,COUNTIF($B$2:B270,'🎯 一鍵查詢'!$C$5),"")</f>
        <v/>
      </c>
    </row>
    <row r="271">
      <c r="A271" t="n">
        <v>23133</v>
      </c>
      <c r="B271" t="n">
        <v>2313</v>
      </c>
      <c r="C271">
        <f>IF(B271='🎯 一鍵查詢'!$C$5,COUNTIF($B$2:B271,'🎯 一鍵查詢'!$C$5),"")</f>
        <v/>
      </c>
    </row>
    <row r="272">
      <c r="A272" t="n">
        <v>23141</v>
      </c>
      <c r="B272" t="n">
        <v>2314</v>
      </c>
      <c r="C272">
        <f>IF(B272='🎯 一鍵查詢'!$C$5,COUNTIF($B$2:B272,'🎯 一鍵查詢'!$C$5),"")</f>
        <v/>
      </c>
    </row>
    <row r="273">
      <c r="A273" t="n">
        <v>23142</v>
      </c>
      <c r="B273" t="n">
        <v>2314</v>
      </c>
      <c r="C273">
        <f>IF(B273='🎯 一鍵查詢'!$C$5,COUNTIF($B$2:B273,'🎯 一鍵查詢'!$C$5),"")</f>
        <v/>
      </c>
    </row>
    <row r="274">
      <c r="A274" t="n">
        <v>23171</v>
      </c>
      <c r="B274" t="n">
        <v>2317</v>
      </c>
      <c r="C274">
        <f>IF(B274='🎯 一鍵查詢'!$C$5,COUNTIF($B$2:B274,'🎯 一鍵查詢'!$C$5),"")</f>
        <v/>
      </c>
    </row>
    <row r="275">
      <c r="A275" t="n">
        <v>23291</v>
      </c>
      <c r="B275" t="n">
        <v>2329</v>
      </c>
      <c r="C275">
        <f>IF(B275='🎯 一鍵查詢'!$C$5,COUNTIF($B$2:B275,'🎯 一鍵查詢'!$C$5),"")</f>
        <v/>
      </c>
    </row>
    <row r="276">
      <c r="A276" t="n">
        <v>23323</v>
      </c>
      <c r="B276" t="n">
        <v>2332</v>
      </c>
      <c r="C276">
        <f>IF(B276='🎯 一鍵查詢'!$C$5,COUNTIF($B$2:B276,'🎯 一鍵查詢'!$C$5),"")</f>
        <v/>
      </c>
    </row>
    <row r="277">
      <c r="A277" t="n">
        <v>23331</v>
      </c>
      <c r="B277" t="n">
        <v>2333</v>
      </c>
      <c r="C277">
        <f>IF(B277='🎯 一鍵查詢'!$C$5,COUNTIF($B$2:B277,'🎯 一鍵查詢'!$C$5),"")</f>
        <v/>
      </c>
    </row>
    <row r="278">
      <c r="A278" t="n">
        <v>23371</v>
      </c>
      <c r="B278" t="n">
        <v>2337</v>
      </c>
      <c r="C278">
        <f>IF(B278='🎯 一鍵查詢'!$C$5,COUNTIF($B$2:B278,'🎯 一鍵查詢'!$C$5),"")</f>
        <v/>
      </c>
    </row>
    <row r="279">
      <c r="A279" t="n">
        <v>23372</v>
      </c>
      <c r="B279" t="n">
        <v>2337</v>
      </c>
      <c r="C279">
        <f>IF(B279='🎯 一鍵查詢'!$C$5,COUNTIF($B$2:B279,'🎯 一鍵查詢'!$C$5),"")</f>
        <v/>
      </c>
    </row>
    <row r="280">
      <c r="A280" t="n">
        <v>23382</v>
      </c>
      <c r="B280" t="n">
        <v>2338</v>
      </c>
      <c r="C280">
        <f>IF(B280='🎯 一鍵查詢'!$C$5,COUNTIF($B$2:B280,'🎯 一鍵查詢'!$C$5),"")</f>
        <v/>
      </c>
    </row>
    <row r="281">
      <c r="A281" t="n">
        <v>23383</v>
      </c>
      <c r="B281" t="n">
        <v>2338</v>
      </c>
      <c r="C281">
        <f>IF(B281='🎯 一鍵查詢'!$C$5,COUNTIF($B$2:B281,'🎯 一鍵查詢'!$C$5),"")</f>
        <v/>
      </c>
    </row>
    <row r="282">
      <c r="A282" t="n">
        <v>23401</v>
      </c>
      <c r="B282" t="n">
        <v>2340</v>
      </c>
      <c r="C282">
        <f>IF(B282='🎯 一鍵查詢'!$C$5,COUNTIF($B$2:B282,'🎯 一鍵查詢'!$C$5),"")</f>
        <v/>
      </c>
    </row>
    <row r="283">
      <c r="A283" t="n">
        <v>23471</v>
      </c>
      <c r="B283" t="n">
        <v>2347</v>
      </c>
      <c r="C283">
        <f>IF(B283='🎯 一鍵查詢'!$C$5,COUNTIF($B$2:B283,'🎯 一鍵查詢'!$C$5),"")</f>
        <v/>
      </c>
    </row>
    <row r="284">
      <c r="A284" t="n">
        <v>23472</v>
      </c>
      <c r="B284" t="n">
        <v>2347</v>
      </c>
      <c r="C284">
        <f>IF(B284='🎯 一鍵查詢'!$C$5,COUNTIF($B$2:B284,'🎯 一鍵查詢'!$C$5),"")</f>
        <v/>
      </c>
    </row>
    <row r="285">
      <c r="A285" t="n">
        <v>23481</v>
      </c>
      <c r="B285" t="n">
        <v>2348</v>
      </c>
      <c r="C285">
        <f>IF(B285='🎯 一鍵查詢'!$C$5,COUNTIF($B$2:B285,'🎯 一鍵查詢'!$C$5),"")</f>
        <v/>
      </c>
    </row>
    <row r="286">
      <c r="A286" t="n">
        <v>23511</v>
      </c>
      <c r="B286" t="n">
        <v>2351</v>
      </c>
      <c r="C286">
        <f>IF(B286='🎯 一鍵查詢'!$C$5,COUNTIF($B$2:B286,'🎯 一鍵查詢'!$C$5),"")</f>
        <v/>
      </c>
    </row>
    <row r="287">
      <c r="A287" t="n">
        <v>23521</v>
      </c>
      <c r="B287" t="n">
        <v>2352</v>
      </c>
      <c r="C287">
        <f>IF(B287='🎯 一鍵查詢'!$C$5,COUNTIF($B$2:B287,'🎯 一鍵查詢'!$C$5),"")</f>
        <v/>
      </c>
    </row>
    <row r="288">
      <c r="A288" t="n">
        <v>23532</v>
      </c>
      <c r="B288" t="n">
        <v>2353</v>
      </c>
      <c r="C288">
        <f>IF(B288='🎯 一鍵查詢'!$C$5,COUNTIF($B$2:B288,'🎯 一鍵查詢'!$C$5),"")</f>
        <v/>
      </c>
    </row>
    <row r="289">
      <c r="A289" t="n">
        <v>23541</v>
      </c>
      <c r="B289" t="n">
        <v>2354</v>
      </c>
      <c r="C289">
        <f>IF(B289='🎯 一鍵查詢'!$C$5,COUNTIF($B$2:B289,'🎯 一鍵查詢'!$C$5),"")</f>
        <v/>
      </c>
    </row>
    <row r="290">
      <c r="A290" t="n">
        <v>23551</v>
      </c>
      <c r="B290" t="n">
        <v>2355</v>
      </c>
      <c r="C290">
        <f>IF(B290='🎯 一鍵查詢'!$C$5,COUNTIF($B$2:B290,'🎯 一鍵查詢'!$C$5),"")</f>
        <v/>
      </c>
    </row>
    <row r="291">
      <c r="A291" t="n">
        <v>23571</v>
      </c>
      <c r="B291" t="n">
        <v>2357</v>
      </c>
      <c r="C291">
        <f>IF(B291='🎯 一鍵查詢'!$C$5,COUNTIF($B$2:B291,'🎯 一鍵查詢'!$C$5),"")</f>
        <v/>
      </c>
    </row>
    <row r="292">
      <c r="A292" t="n">
        <v>23581</v>
      </c>
      <c r="B292" t="n">
        <v>2358</v>
      </c>
      <c r="C292">
        <f>IF(B292='🎯 一鍵查詢'!$C$5,COUNTIF($B$2:B292,'🎯 一鍵查詢'!$C$5),"")</f>
        <v/>
      </c>
    </row>
    <row r="293">
      <c r="A293" t="n">
        <v>23601</v>
      </c>
      <c r="B293" t="n">
        <v>2360</v>
      </c>
      <c r="C293">
        <f>IF(B293='🎯 一鍵查詢'!$C$5,COUNTIF($B$2:B293,'🎯 一鍵查詢'!$C$5),"")</f>
        <v/>
      </c>
    </row>
    <row r="294">
      <c r="A294" t="n">
        <v>23602</v>
      </c>
      <c r="B294" t="n">
        <v>2360</v>
      </c>
      <c r="C294">
        <f>IF(B294='🎯 一鍵查詢'!$C$5,COUNTIF($B$2:B294,'🎯 一鍵查詢'!$C$5),"")</f>
        <v/>
      </c>
    </row>
    <row r="295">
      <c r="A295" t="n">
        <v>23651</v>
      </c>
      <c r="B295" t="n">
        <v>2365</v>
      </c>
      <c r="C295">
        <f>IF(B295='🎯 一鍵查詢'!$C$5,COUNTIF($B$2:B295,'🎯 一鍵查詢'!$C$5),"")</f>
        <v/>
      </c>
    </row>
    <row r="296">
      <c r="A296" t="n">
        <v>23652</v>
      </c>
      <c r="B296" t="n">
        <v>2365</v>
      </c>
      <c r="C296">
        <f>IF(B296='🎯 一鍵查詢'!$C$5,COUNTIF($B$2:B296,'🎯 一鍵查詢'!$C$5),"")</f>
        <v/>
      </c>
    </row>
    <row r="297">
      <c r="A297" t="n">
        <v>23671</v>
      </c>
      <c r="B297" t="n">
        <v>2367</v>
      </c>
      <c r="C297">
        <f>IF(B297='🎯 一鍵查詢'!$C$5,COUNTIF($B$2:B297,'🎯 一鍵查詢'!$C$5),"")</f>
        <v/>
      </c>
    </row>
    <row r="298">
      <c r="A298" t="n">
        <v>23672</v>
      </c>
      <c r="B298" t="n">
        <v>2367</v>
      </c>
      <c r="C298">
        <f>IF(B298='🎯 一鍵查詢'!$C$5,COUNTIF($B$2:B298,'🎯 一鍵查詢'!$C$5),"")</f>
        <v/>
      </c>
    </row>
    <row r="299">
      <c r="A299" t="n">
        <v>23681</v>
      </c>
      <c r="B299" t="n">
        <v>2368</v>
      </c>
      <c r="C299">
        <f>IF(B299='🎯 一鍵查詢'!$C$5,COUNTIF($B$2:B299,'🎯 一鍵查詢'!$C$5),"")</f>
        <v/>
      </c>
    </row>
    <row r="300">
      <c r="A300" t="n">
        <v>23682</v>
      </c>
      <c r="B300" t="n">
        <v>2368</v>
      </c>
      <c r="C300">
        <f>IF(B300='🎯 一鍵查詢'!$C$5,COUNTIF($B$2:B300,'🎯 一鍵查詢'!$C$5),"")</f>
        <v/>
      </c>
    </row>
    <row r="301">
      <c r="A301" t="n">
        <v>23683</v>
      </c>
      <c r="B301" t="n">
        <v>2368</v>
      </c>
      <c r="C301">
        <f>IF(B301='🎯 一鍵查詢'!$C$5,COUNTIF($B$2:B301,'🎯 一鍵查詢'!$C$5),"")</f>
        <v/>
      </c>
    </row>
    <row r="302">
      <c r="A302" t="n">
        <v>23691</v>
      </c>
      <c r="B302" t="n">
        <v>2369</v>
      </c>
      <c r="C302">
        <f>IF(B302='🎯 一鍵查詢'!$C$5,COUNTIF($B$2:B302,'🎯 一鍵查詢'!$C$5),"")</f>
        <v/>
      </c>
    </row>
    <row r="303">
      <c r="A303" t="n">
        <v>23692</v>
      </c>
      <c r="B303" t="n">
        <v>2369</v>
      </c>
      <c r="C303">
        <f>IF(B303='🎯 一鍵查詢'!$C$5,COUNTIF($B$2:B303,'🎯 一鍵查詢'!$C$5),"")</f>
        <v/>
      </c>
    </row>
    <row r="304">
      <c r="A304" t="n">
        <v>23711</v>
      </c>
      <c r="B304" t="n">
        <v>2371</v>
      </c>
      <c r="C304">
        <f>IF(B304='🎯 一鍵查詢'!$C$5,COUNTIF($B$2:B304,'🎯 一鍵查詢'!$C$5),"")</f>
        <v/>
      </c>
    </row>
    <row r="305">
      <c r="A305" t="n">
        <v>23712</v>
      </c>
      <c r="B305" t="n">
        <v>2371</v>
      </c>
      <c r="C305">
        <f>IF(B305='🎯 一鍵查詢'!$C$5,COUNTIF($B$2:B305,'🎯 一鍵查詢'!$C$5),"")</f>
        <v/>
      </c>
    </row>
    <row r="306">
      <c r="A306" t="n">
        <v>23741</v>
      </c>
      <c r="B306" t="n">
        <v>2374</v>
      </c>
      <c r="C306">
        <f>IF(B306='🎯 一鍵查詢'!$C$5,COUNTIF($B$2:B306,'🎯 一鍵查詢'!$C$5),"")</f>
        <v/>
      </c>
    </row>
    <row r="307">
      <c r="A307" t="n">
        <v>23742</v>
      </c>
      <c r="B307" t="n">
        <v>2374</v>
      </c>
      <c r="C307">
        <f>IF(B307='🎯 一鍵查詢'!$C$5,COUNTIF($B$2:B307,'🎯 一鍵查詢'!$C$5),"")</f>
        <v/>
      </c>
    </row>
    <row r="308">
      <c r="A308" t="n">
        <v>23772</v>
      </c>
      <c r="B308" t="n">
        <v>2377</v>
      </c>
      <c r="C308">
        <f>IF(B308='🎯 一鍵查詢'!$C$5,COUNTIF($B$2:B308,'🎯 一鍵查詢'!$C$5),"")</f>
        <v/>
      </c>
    </row>
    <row r="309">
      <c r="A309" t="n">
        <v>23791</v>
      </c>
      <c r="B309" t="n">
        <v>2379</v>
      </c>
      <c r="C309">
        <f>IF(B309='🎯 一鍵查詢'!$C$5,COUNTIF($B$2:B309,'🎯 一鍵查詢'!$C$5),"")</f>
        <v/>
      </c>
    </row>
    <row r="310">
      <c r="A310" t="n">
        <v>23831</v>
      </c>
      <c r="B310" t="n">
        <v>2383</v>
      </c>
      <c r="C310">
        <f>IF(B310='🎯 一鍵查詢'!$C$5,COUNTIF($B$2:B310,'🎯 一鍵查詢'!$C$5),"")</f>
        <v/>
      </c>
    </row>
    <row r="311">
      <c r="A311" t="n">
        <v>23832</v>
      </c>
      <c r="B311" t="n">
        <v>2383</v>
      </c>
      <c r="C311">
        <f>IF(B311='🎯 一鍵查詢'!$C$5,COUNTIF($B$2:B311,'🎯 一鍵查詢'!$C$5),"")</f>
        <v/>
      </c>
    </row>
    <row r="312">
      <c r="A312" t="n">
        <v>23833</v>
      </c>
      <c r="B312" t="n">
        <v>2383</v>
      </c>
      <c r="C312">
        <f>IF(B312='🎯 一鍵查詢'!$C$5,COUNTIF($B$2:B312,'🎯 一鍵查詢'!$C$5),"")</f>
        <v/>
      </c>
    </row>
    <row r="313">
      <c r="A313" t="n">
        <v>23834</v>
      </c>
      <c r="B313" t="n">
        <v>2383</v>
      </c>
      <c r="C313">
        <f>IF(B313='🎯 一鍵查詢'!$C$5,COUNTIF($B$2:B313,'🎯 一鍵查詢'!$C$5),"")</f>
        <v/>
      </c>
    </row>
    <row r="314">
      <c r="A314" t="n">
        <v>23835</v>
      </c>
      <c r="B314" t="n">
        <v>2383</v>
      </c>
      <c r="C314">
        <f>IF(B314='🎯 一鍵查詢'!$C$5,COUNTIF($B$2:B314,'🎯 一鍵查詢'!$C$5),"")</f>
        <v/>
      </c>
    </row>
    <row r="315">
      <c r="A315" t="n">
        <v>23836</v>
      </c>
      <c r="B315" t="n">
        <v>2383</v>
      </c>
      <c r="C315">
        <f>IF(B315='🎯 一鍵查詢'!$C$5,COUNTIF($B$2:B315,'🎯 一鍵查詢'!$C$5),"")</f>
        <v/>
      </c>
    </row>
    <row r="316">
      <c r="A316" t="n">
        <v>23837</v>
      </c>
      <c r="B316" t="n">
        <v>2383</v>
      </c>
      <c r="C316">
        <f>IF(B316='🎯 一鍵查詢'!$C$5,COUNTIF($B$2:B316,'🎯 一鍵查詢'!$C$5),"")</f>
        <v/>
      </c>
    </row>
    <row r="317">
      <c r="A317" t="n">
        <v>23841</v>
      </c>
      <c r="B317" t="n">
        <v>2384</v>
      </c>
      <c r="C317">
        <f>IF(B317='🎯 一鍵查詢'!$C$5,COUNTIF($B$2:B317,'🎯 一鍵查詢'!$C$5),"")</f>
        <v/>
      </c>
    </row>
    <row r="318">
      <c r="A318" t="n">
        <v>23851</v>
      </c>
      <c r="B318" t="n">
        <v>2385</v>
      </c>
      <c r="C318">
        <f>IF(B318='🎯 一鍵查詢'!$C$5,COUNTIF($B$2:B318,'🎯 一鍵查詢'!$C$5),"")</f>
        <v/>
      </c>
    </row>
    <row r="319">
      <c r="A319" t="n">
        <v>23881</v>
      </c>
      <c r="B319" t="n">
        <v>2388</v>
      </c>
      <c r="C319">
        <f>IF(B319='🎯 一鍵查詢'!$C$5,COUNTIF($B$2:B319,'🎯 一鍵查詢'!$C$5),"")</f>
        <v/>
      </c>
    </row>
    <row r="320">
      <c r="A320" t="n">
        <v>23891</v>
      </c>
      <c r="B320" t="n">
        <v>2389</v>
      </c>
      <c r="C320">
        <f>IF(B320='🎯 一鍵查詢'!$C$5,COUNTIF($B$2:B320,'🎯 一鍵查詢'!$C$5),"")</f>
        <v/>
      </c>
    </row>
    <row r="321">
      <c r="A321" t="n">
        <v>23901</v>
      </c>
      <c r="B321" t="n">
        <v>2390</v>
      </c>
      <c r="C321">
        <f>IF(B321='🎯 一鍵查詢'!$C$5,COUNTIF($B$2:B321,'🎯 一鍵查詢'!$C$5),"")</f>
        <v/>
      </c>
    </row>
    <row r="322">
      <c r="A322" t="n">
        <v>23921</v>
      </c>
      <c r="B322" t="n">
        <v>2392</v>
      </c>
      <c r="C322">
        <f>IF(B322='🎯 一鍵查詢'!$C$5,COUNTIF($B$2:B322,'🎯 一鍵查詢'!$C$5),"")</f>
        <v/>
      </c>
    </row>
    <row r="323">
      <c r="A323" t="n">
        <v>23932</v>
      </c>
      <c r="B323" t="n">
        <v>2393</v>
      </c>
      <c r="C323">
        <f>IF(B323='🎯 一鍵查詢'!$C$5,COUNTIF($B$2:B323,'🎯 一鍵查詢'!$C$5),"")</f>
        <v/>
      </c>
    </row>
    <row r="324">
      <c r="A324" t="n">
        <v>23933</v>
      </c>
      <c r="B324" t="n">
        <v>2393</v>
      </c>
      <c r="C324">
        <f>IF(B324='🎯 一鍵查詢'!$C$5,COUNTIF($B$2:B324,'🎯 一鍵查詢'!$C$5),"")</f>
        <v/>
      </c>
    </row>
    <row r="325">
      <c r="A325" t="n">
        <v>23934</v>
      </c>
      <c r="B325" t="n">
        <v>2393</v>
      </c>
      <c r="C325">
        <f>IF(B325='🎯 一鍵查詢'!$C$5,COUNTIF($B$2:B325,'🎯 一鍵查詢'!$C$5),"")</f>
        <v/>
      </c>
    </row>
    <row r="326">
      <c r="A326" t="n">
        <v>23935</v>
      </c>
      <c r="B326" t="n">
        <v>2393</v>
      </c>
      <c r="C326">
        <f>IF(B326='🎯 一鍵查詢'!$C$5,COUNTIF($B$2:B326,'🎯 一鍵查詢'!$C$5),"")</f>
        <v/>
      </c>
    </row>
    <row r="327">
      <c r="A327" t="n">
        <v>23936</v>
      </c>
      <c r="B327" t="n">
        <v>2393</v>
      </c>
      <c r="C327">
        <f>IF(B327='🎯 一鍵查詢'!$C$5,COUNTIF($B$2:B327,'🎯 一鍵查詢'!$C$5),"")</f>
        <v/>
      </c>
    </row>
    <row r="328">
      <c r="A328" t="n">
        <v>23952</v>
      </c>
      <c r="B328" t="n">
        <v>2395</v>
      </c>
      <c r="C328">
        <f>IF(B328='🎯 一鍵查詢'!$C$5,COUNTIF($B$2:B328,'🎯 一鍵查詢'!$C$5),"")</f>
        <v/>
      </c>
    </row>
    <row r="329">
      <c r="A329" t="n">
        <v>23981</v>
      </c>
      <c r="B329" t="n">
        <v>2398</v>
      </c>
      <c r="C329">
        <f>IF(B329='🎯 一鍵查詢'!$C$5,COUNTIF($B$2:B329,'🎯 一鍵查詢'!$C$5),"")</f>
        <v/>
      </c>
    </row>
    <row r="330">
      <c r="A330" t="n">
        <v>24021</v>
      </c>
      <c r="B330" t="n">
        <v>2402</v>
      </c>
      <c r="C330">
        <f>IF(B330='🎯 一鍵查詢'!$C$5,COUNTIF($B$2:B330,'🎯 一鍵查詢'!$C$5),"")</f>
        <v/>
      </c>
    </row>
    <row r="331">
      <c r="A331" t="n">
        <v>24022</v>
      </c>
      <c r="B331" t="n">
        <v>2402</v>
      </c>
      <c r="C331">
        <f>IF(B331='🎯 一鍵查詢'!$C$5,COUNTIF($B$2:B331,'🎯 一鍵查詢'!$C$5),"")</f>
        <v/>
      </c>
    </row>
    <row r="332">
      <c r="A332" t="n">
        <v>24023</v>
      </c>
      <c r="B332" t="n">
        <v>2402</v>
      </c>
      <c r="C332">
        <f>IF(B332='🎯 一鍵查詢'!$C$5,COUNTIF($B$2:B332,'🎯 一鍵查詢'!$C$5),"")</f>
        <v/>
      </c>
    </row>
    <row r="333">
      <c r="A333" t="n">
        <v>24061</v>
      </c>
      <c r="B333" t="n">
        <v>2406</v>
      </c>
      <c r="C333">
        <f>IF(B333='🎯 一鍵查詢'!$C$5,COUNTIF($B$2:B333,'🎯 一鍵查詢'!$C$5),"")</f>
        <v/>
      </c>
    </row>
    <row r="334">
      <c r="A334" t="n">
        <v>24062</v>
      </c>
      <c r="B334" t="n">
        <v>2406</v>
      </c>
      <c r="C334">
        <f>IF(B334='🎯 一鍵查詢'!$C$5,COUNTIF($B$2:B334,'🎯 一鍵查詢'!$C$5),"")</f>
        <v/>
      </c>
    </row>
    <row r="335">
      <c r="A335" t="n">
        <v>24063</v>
      </c>
      <c r="B335" t="n">
        <v>2406</v>
      </c>
      <c r="C335">
        <f>IF(B335='🎯 一鍵查詢'!$C$5,COUNTIF($B$2:B335,'🎯 一鍵查詢'!$C$5),"")</f>
        <v/>
      </c>
    </row>
    <row r="336">
      <c r="A336" t="n">
        <v>24064</v>
      </c>
      <c r="B336" t="n">
        <v>2406</v>
      </c>
      <c r="C336">
        <f>IF(B336='🎯 一鍵查詢'!$C$5,COUNTIF($B$2:B336,'🎯 一鍵查詢'!$C$5),"")</f>
        <v/>
      </c>
    </row>
    <row r="337">
      <c r="A337" t="n">
        <v>24071</v>
      </c>
      <c r="B337" t="n">
        <v>2407</v>
      </c>
      <c r="C337">
        <f>IF(B337='🎯 一鍵查詢'!$C$5,COUNTIF($B$2:B337,'🎯 一鍵查詢'!$C$5),"")</f>
        <v/>
      </c>
    </row>
    <row r="338">
      <c r="A338" t="n">
        <v>24081</v>
      </c>
      <c r="B338" t="n">
        <v>2408</v>
      </c>
      <c r="C338">
        <f>IF(B338='🎯 一鍵查詢'!$C$5,COUNTIF($B$2:B338,'🎯 一鍵查詢'!$C$5),"")</f>
        <v/>
      </c>
    </row>
    <row r="339">
      <c r="A339" t="n">
        <v>24091</v>
      </c>
      <c r="B339" t="n">
        <v>2409</v>
      </c>
      <c r="C339">
        <f>IF(B339='🎯 一鍵查詢'!$C$5,COUNTIF($B$2:B339,'🎯 一鍵查詢'!$C$5),"")</f>
        <v/>
      </c>
    </row>
    <row r="340">
      <c r="A340" t="n">
        <v>24092</v>
      </c>
      <c r="B340" t="n">
        <v>2409</v>
      </c>
      <c r="C340">
        <f>IF(B340='🎯 一鍵查詢'!$C$5,COUNTIF($B$2:B340,'🎯 一鍵查詢'!$C$5),"")</f>
        <v/>
      </c>
    </row>
    <row r="341">
      <c r="A341" t="n">
        <v>24093</v>
      </c>
      <c r="B341" t="n">
        <v>2409</v>
      </c>
      <c r="C341">
        <f>IF(B341='🎯 一鍵查詢'!$C$5,COUNTIF($B$2:B341,'🎯 一鍵查詢'!$C$5),"")</f>
        <v/>
      </c>
    </row>
    <row r="342">
      <c r="A342" t="n">
        <v>24131</v>
      </c>
      <c r="B342" t="n">
        <v>2413</v>
      </c>
      <c r="C342">
        <f>IF(B342='🎯 一鍵查詢'!$C$5,COUNTIF($B$2:B342,'🎯 一鍵查詢'!$C$5),"")</f>
        <v/>
      </c>
    </row>
    <row r="343">
      <c r="A343" t="n">
        <v>24141</v>
      </c>
      <c r="B343" t="n">
        <v>2414</v>
      </c>
      <c r="C343">
        <f>IF(B343='🎯 一鍵查詢'!$C$5,COUNTIF($B$2:B343,'🎯 一鍵查詢'!$C$5),"")</f>
        <v/>
      </c>
    </row>
    <row r="344">
      <c r="A344" t="n">
        <v>24151</v>
      </c>
      <c r="B344" t="n">
        <v>2415</v>
      </c>
      <c r="C344">
        <f>IF(B344='🎯 一鍵查詢'!$C$5,COUNTIF($B$2:B344,'🎯 一鍵查詢'!$C$5),"")</f>
        <v/>
      </c>
    </row>
    <row r="345">
      <c r="A345" t="n">
        <v>24172</v>
      </c>
      <c r="B345" t="n">
        <v>2417</v>
      </c>
      <c r="C345">
        <f>IF(B345='🎯 一鍵查詢'!$C$5,COUNTIF($B$2:B345,'🎯 一鍵查詢'!$C$5),"")</f>
        <v/>
      </c>
    </row>
    <row r="346">
      <c r="A346" t="n">
        <v>24182</v>
      </c>
      <c r="B346" t="n">
        <v>2418</v>
      </c>
      <c r="C346">
        <f>IF(B346='🎯 一鍵查詢'!$C$5,COUNTIF($B$2:B346,'🎯 一鍵查詢'!$C$5),"")</f>
        <v/>
      </c>
    </row>
    <row r="347">
      <c r="A347" t="n">
        <v>24183</v>
      </c>
      <c r="B347" t="n">
        <v>2418</v>
      </c>
      <c r="C347">
        <f>IF(B347='🎯 一鍵查詢'!$C$5,COUNTIF($B$2:B347,'🎯 一鍵查詢'!$C$5),"")</f>
        <v/>
      </c>
    </row>
    <row r="348">
      <c r="A348" t="n">
        <v>24191</v>
      </c>
      <c r="B348" t="n">
        <v>2419</v>
      </c>
      <c r="C348">
        <f>IF(B348='🎯 一鍵查詢'!$C$5,COUNTIF($B$2:B348,'🎯 一鍵查詢'!$C$5),"")</f>
        <v/>
      </c>
    </row>
    <row r="349">
      <c r="A349" t="n">
        <v>24192</v>
      </c>
      <c r="B349" t="n">
        <v>2419</v>
      </c>
      <c r="C349">
        <f>IF(B349='🎯 一鍵查詢'!$C$5,COUNTIF($B$2:B349,'🎯 一鍵查詢'!$C$5),"")</f>
        <v/>
      </c>
    </row>
    <row r="350">
      <c r="A350" t="n">
        <v>24193</v>
      </c>
      <c r="B350" t="n">
        <v>2419</v>
      </c>
      <c r="C350">
        <f>IF(B350='🎯 一鍵查詢'!$C$5,COUNTIF($B$2:B350,'🎯 一鍵查詢'!$C$5),"")</f>
        <v/>
      </c>
    </row>
    <row r="351">
      <c r="A351" t="n">
        <v>24194</v>
      </c>
      <c r="B351" t="n">
        <v>2419</v>
      </c>
      <c r="C351">
        <f>IF(B351='🎯 一鍵查詢'!$C$5,COUNTIF($B$2:B351,'🎯 一鍵查詢'!$C$5),"")</f>
        <v/>
      </c>
    </row>
    <row r="352">
      <c r="A352" t="n">
        <v>24212</v>
      </c>
      <c r="B352" t="n">
        <v>2421</v>
      </c>
      <c r="C352">
        <f>IF(B352='🎯 一鍵查詢'!$C$5,COUNTIF($B$2:B352,'🎯 一鍵查詢'!$C$5),"")</f>
        <v/>
      </c>
    </row>
    <row r="353">
      <c r="A353" t="n">
        <v>24213</v>
      </c>
      <c r="B353" t="n">
        <v>2421</v>
      </c>
      <c r="C353">
        <f>IF(B353='🎯 一鍵查詢'!$C$5,COUNTIF($B$2:B353,'🎯 一鍵查詢'!$C$5),"")</f>
        <v/>
      </c>
    </row>
    <row r="354">
      <c r="A354" t="n">
        <v>24241</v>
      </c>
      <c r="B354" t="n">
        <v>2424</v>
      </c>
      <c r="C354">
        <f>IF(B354='🎯 一鍵查詢'!$C$5,COUNTIF($B$2:B354,'🎯 一鍵查詢'!$C$5),"")</f>
        <v/>
      </c>
    </row>
    <row r="355">
      <c r="A355" t="n">
        <v>24261</v>
      </c>
      <c r="B355" t="n">
        <v>2426</v>
      </c>
      <c r="C355">
        <f>IF(B355='🎯 一鍵查詢'!$C$5,COUNTIF($B$2:B355,'🎯 一鍵查詢'!$C$5),"")</f>
        <v/>
      </c>
    </row>
    <row r="356">
      <c r="A356" t="n">
        <v>24262</v>
      </c>
      <c r="B356" t="n">
        <v>2426</v>
      </c>
      <c r="C356">
        <f>IF(B356='🎯 一鍵查詢'!$C$5,COUNTIF($B$2:B356,'🎯 一鍵查詢'!$C$5),"")</f>
        <v/>
      </c>
    </row>
    <row r="357">
      <c r="A357" t="n">
        <v>24263</v>
      </c>
      <c r="B357" t="n">
        <v>2426</v>
      </c>
      <c r="C357">
        <f>IF(B357='🎯 一鍵查詢'!$C$5,COUNTIF($B$2:B357,'🎯 一鍵查詢'!$C$5),"")</f>
        <v/>
      </c>
    </row>
    <row r="358">
      <c r="A358" t="n">
        <v>24264</v>
      </c>
      <c r="B358" t="n">
        <v>2426</v>
      </c>
      <c r="C358">
        <f>IF(B358='🎯 一鍵查詢'!$C$5,COUNTIF($B$2:B358,'🎯 一鍵查詢'!$C$5),"")</f>
        <v/>
      </c>
    </row>
    <row r="359">
      <c r="A359" t="n">
        <v>24265</v>
      </c>
      <c r="B359" t="n">
        <v>2426</v>
      </c>
      <c r="C359">
        <f>IF(B359='🎯 一鍵查詢'!$C$5,COUNTIF($B$2:B359,'🎯 一鍵查詢'!$C$5),"")</f>
        <v/>
      </c>
    </row>
    <row r="360">
      <c r="A360" t="n">
        <v>24266</v>
      </c>
      <c r="B360" t="n">
        <v>2426</v>
      </c>
      <c r="C360">
        <f>IF(B360='🎯 一鍵查詢'!$C$5,COUNTIF($B$2:B360,'🎯 一鍵查詢'!$C$5),"")</f>
        <v/>
      </c>
    </row>
    <row r="361">
      <c r="A361" t="n">
        <v>24267</v>
      </c>
      <c r="B361" t="n">
        <v>2426</v>
      </c>
      <c r="C361">
        <f>IF(B361='🎯 一鍵查詢'!$C$5,COUNTIF($B$2:B361,'🎯 一鍵查詢'!$C$5),"")</f>
        <v/>
      </c>
    </row>
    <row r="362">
      <c r="A362" t="n">
        <v>24268</v>
      </c>
      <c r="B362" t="n">
        <v>2426</v>
      </c>
      <c r="C362">
        <f>IF(B362='🎯 一鍵查詢'!$C$5,COUNTIF($B$2:B362,'🎯 一鍵查詢'!$C$5),"")</f>
        <v/>
      </c>
    </row>
    <row r="363">
      <c r="A363" t="n">
        <v>24271</v>
      </c>
      <c r="B363" t="n">
        <v>2427</v>
      </c>
      <c r="C363">
        <f>IF(B363='🎯 一鍵查詢'!$C$5,COUNTIF($B$2:B363,'🎯 一鍵查詢'!$C$5),"")</f>
        <v/>
      </c>
    </row>
    <row r="364">
      <c r="A364" t="n">
        <v>24281</v>
      </c>
      <c r="B364" t="n">
        <v>2428</v>
      </c>
      <c r="C364">
        <f>IF(B364='🎯 一鍵查詢'!$C$5,COUNTIF($B$2:B364,'🎯 一鍵查詢'!$C$5),"")</f>
        <v/>
      </c>
    </row>
    <row r="365">
      <c r="A365" t="n">
        <v>24282</v>
      </c>
      <c r="B365" t="n">
        <v>2428</v>
      </c>
      <c r="C365">
        <f>IF(B365='🎯 一鍵查詢'!$C$5,COUNTIF($B$2:B365,'🎯 一鍵查詢'!$C$5),"")</f>
        <v/>
      </c>
    </row>
    <row r="366">
      <c r="A366" t="n">
        <v>24283</v>
      </c>
      <c r="B366" t="n">
        <v>2428</v>
      </c>
      <c r="C366">
        <f>IF(B366='🎯 一鍵查詢'!$C$5,COUNTIF($B$2:B366,'🎯 一鍵查詢'!$C$5),"")</f>
        <v/>
      </c>
    </row>
    <row r="367">
      <c r="A367" t="n">
        <v>24341</v>
      </c>
      <c r="B367" t="n">
        <v>2434</v>
      </c>
      <c r="C367">
        <f>IF(B367='🎯 一鍵查詢'!$C$5,COUNTIF($B$2:B367,'🎯 一鍵查詢'!$C$5),"")</f>
        <v/>
      </c>
    </row>
    <row r="368">
      <c r="A368" t="n">
        <v>24342</v>
      </c>
      <c r="B368" t="n">
        <v>2434</v>
      </c>
      <c r="C368">
        <f>IF(B368='🎯 一鍵查詢'!$C$5,COUNTIF($B$2:B368,'🎯 一鍵查詢'!$C$5),"")</f>
        <v/>
      </c>
    </row>
    <row r="369">
      <c r="A369" t="n">
        <v>24361</v>
      </c>
      <c r="B369" t="n">
        <v>2436</v>
      </c>
      <c r="C369">
        <f>IF(B369='🎯 一鍵查詢'!$C$5,COUNTIF($B$2:B369,'🎯 一鍵查詢'!$C$5),"")</f>
        <v/>
      </c>
    </row>
    <row r="370">
      <c r="A370" t="n">
        <v>24371</v>
      </c>
      <c r="B370" t="n">
        <v>2437</v>
      </c>
      <c r="C370">
        <f>IF(B370='🎯 一鍵查詢'!$C$5,COUNTIF($B$2:B370,'🎯 一鍵查詢'!$C$5),"")</f>
        <v/>
      </c>
    </row>
    <row r="371">
      <c r="A371" t="n">
        <v>24391</v>
      </c>
      <c r="B371" t="n">
        <v>2439</v>
      </c>
      <c r="C371">
        <f>IF(B371='🎯 一鍵查詢'!$C$5,COUNTIF($B$2:B371,'🎯 一鍵查詢'!$C$5),"")</f>
        <v/>
      </c>
    </row>
    <row r="372">
      <c r="A372" t="n">
        <v>24392</v>
      </c>
      <c r="B372" t="n">
        <v>2439</v>
      </c>
      <c r="C372">
        <f>IF(B372='🎯 一鍵查詢'!$C$5,COUNTIF($B$2:B372,'🎯 一鍵查詢'!$C$5),"")</f>
        <v/>
      </c>
    </row>
    <row r="373">
      <c r="A373" t="n">
        <v>24393</v>
      </c>
      <c r="B373" t="n">
        <v>2439</v>
      </c>
      <c r="C373">
        <f>IF(B373='🎯 一鍵查詢'!$C$5,COUNTIF($B$2:B373,'🎯 一鍵查詢'!$C$5),"")</f>
        <v/>
      </c>
    </row>
    <row r="374">
      <c r="A374" t="n">
        <v>24394</v>
      </c>
      <c r="B374" t="n">
        <v>2439</v>
      </c>
      <c r="C374">
        <f>IF(B374='🎯 一鍵查詢'!$C$5,COUNTIF($B$2:B374,'🎯 一鍵查詢'!$C$5),"")</f>
        <v/>
      </c>
    </row>
    <row r="375">
      <c r="A375" t="n">
        <v>24395</v>
      </c>
      <c r="B375" t="n">
        <v>2439</v>
      </c>
      <c r="C375">
        <f>IF(B375='🎯 一鍵查詢'!$C$5,COUNTIF($B$2:B375,'🎯 一鍵查詢'!$C$5),"")</f>
        <v/>
      </c>
    </row>
    <row r="376">
      <c r="A376" t="n">
        <v>24401</v>
      </c>
      <c r="B376" t="n">
        <v>2440</v>
      </c>
      <c r="C376">
        <f>IF(B376='🎯 一鍵查詢'!$C$5,COUNTIF($B$2:B376,'🎯 一鍵查詢'!$C$5),"")</f>
        <v/>
      </c>
    </row>
    <row r="377">
      <c r="A377" t="n">
        <v>24411</v>
      </c>
      <c r="B377" t="n">
        <v>2441</v>
      </c>
      <c r="C377">
        <f>IF(B377='🎯 一鍵查詢'!$C$5,COUNTIF($B$2:B377,'🎯 一鍵查詢'!$C$5),"")</f>
        <v/>
      </c>
    </row>
    <row r="378">
      <c r="A378" t="n">
        <v>24421</v>
      </c>
      <c r="B378" t="n">
        <v>2442</v>
      </c>
      <c r="C378">
        <f>IF(B378='🎯 一鍵查詢'!$C$5,COUNTIF($B$2:B378,'🎯 一鍵查詢'!$C$5),"")</f>
        <v/>
      </c>
    </row>
    <row r="379">
      <c r="A379" t="n">
        <v>24422</v>
      </c>
      <c r="B379" t="n">
        <v>2442</v>
      </c>
      <c r="C379">
        <f>IF(B379='🎯 一鍵查詢'!$C$5,COUNTIF($B$2:B379,'🎯 一鍵查詢'!$C$5),"")</f>
        <v/>
      </c>
    </row>
    <row r="380">
      <c r="A380" t="n">
        <v>24423</v>
      </c>
      <c r="B380" t="n">
        <v>2442</v>
      </c>
      <c r="C380">
        <f>IF(B380='🎯 一鍵查詢'!$C$5,COUNTIF($B$2:B380,'🎯 一鍵查詢'!$C$5),"")</f>
        <v/>
      </c>
    </row>
    <row r="381">
      <c r="A381" t="n">
        <v>24424</v>
      </c>
      <c r="B381" t="n">
        <v>2442</v>
      </c>
      <c r="C381">
        <f>IF(B381='🎯 一鍵查詢'!$C$5,COUNTIF($B$2:B381,'🎯 一鍵查詢'!$C$5),"")</f>
        <v/>
      </c>
    </row>
    <row r="382">
      <c r="A382" t="n">
        <v>24441</v>
      </c>
      <c r="B382" t="n">
        <v>2444</v>
      </c>
      <c r="C382">
        <f>IF(B382='🎯 一鍵查詢'!$C$5,COUNTIF($B$2:B382,'🎯 一鍵查詢'!$C$5),"")</f>
        <v/>
      </c>
    </row>
    <row r="383">
      <c r="A383" t="n">
        <v>24442</v>
      </c>
      <c r="B383" t="n">
        <v>2444</v>
      </c>
      <c r="C383">
        <f>IF(B383='🎯 一鍵查詢'!$C$5,COUNTIF($B$2:B383,'🎯 一鍵查詢'!$C$5),"")</f>
        <v/>
      </c>
    </row>
    <row r="384">
      <c r="A384" t="n">
        <v>24461</v>
      </c>
      <c r="B384" t="n">
        <v>2446</v>
      </c>
      <c r="C384">
        <f>IF(B384='🎯 一鍵查詢'!$C$5,COUNTIF($B$2:B384,'🎯 一鍵查詢'!$C$5),"")</f>
        <v/>
      </c>
    </row>
    <row r="385">
      <c r="A385" t="n">
        <v>24471</v>
      </c>
      <c r="B385" t="n">
        <v>2447</v>
      </c>
      <c r="C385">
        <f>IF(B385='🎯 一鍵查詢'!$C$5,COUNTIF($B$2:B385,'🎯 一鍵查詢'!$C$5),"")</f>
        <v/>
      </c>
    </row>
    <row r="386">
      <c r="A386" t="n">
        <v>24481</v>
      </c>
      <c r="B386" t="n">
        <v>2448</v>
      </c>
      <c r="C386">
        <f>IF(B386='🎯 一鍵查詢'!$C$5,COUNTIF($B$2:B386,'🎯 一鍵查詢'!$C$5),"")</f>
        <v/>
      </c>
    </row>
    <row r="387">
      <c r="A387" t="n">
        <v>24482</v>
      </c>
      <c r="B387" t="n">
        <v>2448</v>
      </c>
      <c r="C387">
        <f>IF(B387='🎯 一鍵查詢'!$C$5,COUNTIF($B$2:B387,'🎯 一鍵查詢'!$C$5),"")</f>
        <v/>
      </c>
    </row>
    <row r="388">
      <c r="A388" t="n">
        <v>24483</v>
      </c>
      <c r="B388" t="n">
        <v>2448</v>
      </c>
      <c r="C388">
        <f>IF(B388='🎯 一鍵查詢'!$C$5,COUNTIF($B$2:B388,'🎯 一鍵查詢'!$C$5),"")</f>
        <v/>
      </c>
    </row>
    <row r="389">
      <c r="A389" t="n">
        <v>24501</v>
      </c>
      <c r="B389" t="n">
        <v>2450</v>
      </c>
      <c r="C389">
        <f>IF(B389='🎯 一鍵查詢'!$C$5,COUNTIF($B$2:B389,'🎯 一鍵查詢'!$C$5),"")</f>
        <v/>
      </c>
    </row>
    <row r="390">
      <c r="A390" t="n">
        <v>24511</v>
      </c>
      <c r="B390" t="n">
        <v>2451</v>
      </c>
      <c r="C390">
        <f>IF(B390='🎯 一鍵查詢'!$C$5,COUNTIF($B$2:B390,'🎯 一鍵查詢'!$C$5),"")</f>
        <v/>
      </c>
    </row>
    <row r="391">
      <c r="A391" t="n">
        <v>24551</v>
      </c>
      <c r="B391" t="n">
        <v>2455</v>
      </c>
      <c r="C391">
        <f>IF(B391='🎯 一鍵查詢'!$C$5,COUNTIF($B$2:B391,'🎯 一鍵查詢'!$C$5),"")</f>
        <v/>
      </c>
    </row>
    <row r="392">
      <c r="A392" t="n">
        <v>24552</v>
      </c>
      <c r="B392" t="n">
        <v>2455</v>
      </c>
      <c r="C392">
        <f>IF(B392='🎯 一鍵查詢'!$C$5,COUNTIF($B$2:B392,'🎯 一鍵查詢'!$C$5),"")</f>
        <v/>
      </c>
    </row>
    <row r="393">
      <c r="A393" t="n">
        <v>24553</v>
      </c>
      <c r="B393" t="n">
        <v>2455</v>
      </c>
      <c r="C393">
        <f>IF(B393='🎯 一鍵查詢'!$C$5,COUNTIF($B$2:B393,'🎯 一鍵查詢'!$C$5),"")</f>
        <v/>
      </c>
    </row>
    <row r="394">
      <c r="A394" t="n">
        <v>24562</v>
      </c>
      <c r="B394" t="n">
        <v>2456</v>
      </c>
      <c r="C394">
        <f>IF(B394='🎯 一鍵查詢'!$C$5,COUNTIF($B$2:B394,'🎯 一鍵查詢'!$C$5),"")</f>
        <v/>
      </c>
    </row>
    <row r="395">
      <c r="A395" t="n">
        <v>24563</v>
      </c>
      <c r="B395" t="n">
        <v>2456</v>
      </c>
      <c r="C395">
        <f>IF(B395='🎯 一鍵查詢'!$C$5,COUNTIF($B$2:B395,'🎯 一鍵查詢'!$C$5),"")</f>
        <v/>
      </c>
    </row>
    <row r="396">
      <c r="A396" t="n">
        <v>24564</v>
      </c>
      <c r="B396" t="n">
        <v>2456</v>
      </c>
      <c r="C396">
        <f>IF(B396='🎯 一鍵查詢'!$C$5,COUNTIF($B$2:B396,'🎯 一鍵查詢'!$C$5),"")</f>
        <v/>
      </c>
    </row>
    <row r="397">
      <c r="A397" t="n">
        <v>24565</v>
      </c>
      <c r="B397" t="n">
        <v>2456</v>
      </c>
      <c r="C397">
        <f>IF(B397='🎯 一鍵查詢'!$C$5,COUNTIF($B$2:B397,'🎯 一鍵查詢'!$C$5),"")</f>
        <v/>
      </c>
    </row>
    <row r="398">
      <c r="A398" t="n">
        <v>24566</v>
      </c>
      <c r="B398" t="n">
        <v>2456</v>
      </c>
      <c r="C398">
        <f>IF(B398='🎯 一鍵查詢'!$C$5,COUNTIF($B$2:B398,'🎯 一鍵查詢'!$C$5),"")</f>
        <v/>
      </c>
    </row>
    <row r="399">
      <c r="A399" t="n">
        <v>24571</v>
      </c>
      <c r="B399" t="n">
        <v>2457</v>
      </c>
      <c r="C399">
        <f>IF(B399='🎯 一鍵查詢'!$C$5,COUNTIF($B$2:B399,'🎯 一鍵查詢'!$C$5),"")</f>
        <v/>
      </c>
    </row>
    <row r="400">
      <c r="A400" t="n">
        <v>24581</v>
      </c>
      <c r="B400" t="n">
        <v>2458</v>
      </c>
      <c r="C400">
        <f>IF(B400='🎯 一鍵查詢'!$C$5,COUNTIF($B$2:B400,'🎯 一鍵查詢'!$C$5),"")</f>
        <v/>
      </c>
    </row>
    <row r="401">
      <c r="A401" t="n">
        <v>24591</v>
      </c>
      <c r="B401" t="n">
        <v>2459</v>
      </c>
      <c r="C401">
        <f>IF(B401='🎯 一鍵查詢'!$C$5,COUNTIF($B$2:B401,'🎯 一鍵查詢'!$C$5),"")</f>
        <v/>
      </c>
    </row>
    <row r="402">
      <c r="A402" t="n">
        <v>24601</v>
      </c>
      <c r="B402" t="n">
        <v>2460</v>
      </c>
      <c r="C402">
        <f>IF(B402='🎯 一鍵查詢'!$C$5,COUNTIF($B$2:B402,'🎯 一鍵查詢'!$C$5),"")</f>
        <v/>
      </c>
    </row>
    <row r="403">
      <c r="A403" t="n">
        <v>24611</v>
      </c>
      <c r="B403" t="n">
        <v>2461</v>
      </c>
      <c r="C403">
        <f>IF(B403='🎯 一鍵查詢'!$C$5,COUNTIF($B$2:B403,'🎯 一鍵查詢'!$C$5),"")</f>
        <v/>
      </c>
    </row>
    <row r="404">
      <c r="A404" t="n">
        <v>24612</v>
      </c>
      <c r="B404" t="n">
        <v>2461</v>
      </c>
      <c r="C404">
        <f>IF(B404='🎯 一鍵查詢'!$C$5,COUNTIF($B$2:B404,'🎯 一鍵查詢'!$C$5),"")</f>
        <v/>
      </c>
    </row>
    <row r="405">
      <c r="A405" t="n">
        <v>24613</v>
      </c>
      <c r="B405" t="n">
        <v>2461</v>
      </c>
      <c r="C405">
        <f>IF(B405='🎯 一鍵查詢'!$C$5,COUNTIF($B$2:B405,'🎯 一鍵查詢'!$C$5),"")</f>
        <v/>
      </c>
    </row>
    <row r="406">
      <c r="A406" t="n">
        <v>24614</v>
      </c>
      <c r="B406" t="n">
        <v>2461</v>
      </c>
      <c r="C406">
        <f>IF(B406='🎯 一鍵查詢'!$C$5,COUNTIF($B$2:B406,'🎯 一鍵查詢'!$C$5),"")</f>
        <v/>
      </c>
    </row>
    <row r="407">
      <c r="A407" t="n">
        <v>24615</v>
      </c>
      <c r="B407" t="n">
        <v>2461</v>
      </c>
      <c r="C407">
        <f>IF(B407='🎯 一鍵查詢'!$C$5,COUNTIF($B$2:B407,'🎯 一鍵查詢'!$C$5),"")</f>
        <v/>
      </c>
    </row>
    <row r="408">
      <c r="A408" t="n">
        <v>24616</v>
      </c>
      <c r="B408" t="n">
        <v>2461</v>
      </c>
      <c r="C408">
        <f>IF(B408='🎯 一鍵查詢'!$C$5,COUNTIF($B$2:B408,'🎯 一鍵查詢'!$C$5),"")</f>
        <v/>
      </c>
    </row>
    <row r="409">
      <c r="A409" t="n">
        <v>24621</v>
      </c>
      <c r="B409" t="n">
        <v>2462</v>
      </c>
      <c r="C409">
        <f>IF(B409='🎯 一鍵查詢'!$C$5,COUNTIF($B$2:B409,'🎯 一鍵查詢'!$C$5),"")</f>
        <v/>
      </c>
    </row>
    <row r="410">
      <c r="A410" t="n">
        <v>24622</v>
      </c>
      <c r="B410" t="n">
        <v>2462</v>
      </c>
      <c r="C410">
        <f>IF(B410='🎯 一鍵查詢'!$C$5,COUNTIF($B$2:B410,'🎯 一鍵查詢'!$C$5),"")</f>
        <v/>
      </c>
    </row>
    <row r="411">
      <c r="A411" t="n">
        <v>24623</v>
      </c>
      <c r="B411" t="n">
        <v>2462</v>
      </c>
      <c r="C411">
        <f>IF(B411='🎯 一鍵查詢'!$C$5,COUNTIF($B$2:B411,'🎯 一鍵查詢'!$C$5),"")</f>
        <v/>
      </c>
    </row>
    <row r="412">
      <c r="A412" t="n">
        <v>24624</v>
      </c>
      <c r="B412" t="n">
        <v>2462</v>
      </c>
      <c r="C412">
        <f>IF(B412='🎯 一鍵查詢'!$C$5,COUNTIF($B$2:B412,'🎯 一鍵查詢'!$C$5),"")</f>
        <v/>
      </c>
    </row>
    <row r="413">
      <c r="A413" t="n">
        <v>24641</v>
      </c>
      <c r="B413" t="n">
        <v>2464</v>
      </c>
      <c r="C413">
        <f>IF(B413='🎯 一鍵查詢'!$C$5,COUNTIF($B$2:B413,'🎯 一鍵查詢'!$C$5),"")</f>
        <v/>
      </c>
    </row>
    <row r="414">
      <c r="A414" t="n">
        <v>24642</v>
      </c>
      <c r="B414" t="n">
        <v>2464</v>
      </c>
      <c r="C414">
        <f>IF(B414='🎯 一鍵查詢'!$C$5,COUNTIF($B$2:B414,'🎯 一鍵查詢'!$C$5),"")</f>
        <v/>
      </c>
    </row>
    <row r="415">
      <c r="A415" t="n">
        <v>24661</v>
      </c>
      <c r="B415" t="n">
        <v>2466</v>
      </c>
      <c r="C415">
        <f>IF(B415='🎯 一鍵查詢'!$C$5,COUNTIF($B$2:B415,'🎯 一鍵查詢'!$C$5),"")</f>
        <v/>
      </c>
    </row>
    <row r="416">
      <c r="A416" t="n">
        <v>24662</v>
      </c>
      <c r="B416" t="n">
        <v>2466</v>
      </c>
      <c r="C416">
        <f>IF(B416='🎯 一鍵查詢'!$C$5,COUNTIF($B$2:B416,'🎯 一鍵查詢'!$C$5),"")</f>
        <v/>
      </c>
    </row>
    <row r="417">
      <c r="A417" t="n">
        <v>24663</v>
      </c>
      <c r="B417" t="n">
        <v>2466</v>
      </c>
      <c r="C417">
        <f>IF(B417='🎯 一鍵查詢'!$C$5,COUNTIF($B$2:B417,'🎯 一鍵查詢'!$C$5),"")</f>
        <v/>
      </c>
    </row>
    <row r="418">
      <c r="A418" t="n">
        <v>24671</v>
      </c>
      <c r="B418" t="n">
        <v>2467</v>
      </c>
      <c r="C418">
        <f>IF(B418='🎯 一鍵查詢'!$C$5,COUNTIF($B$2:B418,'🎯 一鍵查詢'!$C$5),"")</f>
        <v/>
      </c>
    </row>
    <row r="419">
      <c r="A419" t="n">
        <v>24672</v>
      </c>
      <c r="B419" t="n">
        <v>2467</v>
      </c>
      <c r="C419">
        <f>IF(B419='🎯 一鍵查詢'!$C$5,COUNTIF($B$2:B419,'🎯 一鍵查詢'!$C$5),"")</f>
        <v/>
      </c>
    </row>
    <row r="420">
      <c r="A420" t="n">
        <v>24673</v>
      </c>
      <c r="B420" t="n">
        <v>2467</v>
      </c>
      <c r="C420">
        <f>IF(B420='🎯 一鍵查詢'!$C$5,COUNTIF($B$2:B420,'🎯 一鍵查詢'!$C$5),"")</f>
        <v/>
      </c>
    </row>
    <row r="421">
      <c r="A421" t="n">
        <v>24681</v>
      </c>
      <c r="B421" t="n">
        <v>2468</v>
      </c>
      <c r="C421">
        <f>IF(B421='🎯 一鍵查詢'!$C$5,COUNTIF($B$2:B421,'🎯 一鍵查詢'!$C$5),"")</f>
        <v/>
      </c>
    </row>
    <row r="422">
      <c r="A422" t="n">
        <v>24692</v>
      </c>
      <c r="B422" t="n">
        <v>2469</v>
      </c>
      <c r="C422">
        <f>IF(B422='🎯 一鍵查詢'!$C$5,COUNTIF($B$2:B422,'🎯 一鍵查詢'!$C$5),"")</f>
        <v/>
      </c>
    </row>
    <row r="423">
      <c r="A423" t="n">
        <v>24701</v>
      </c>
      <c r="B423" t="n">
        <v>2470</v>
      </c>
      <c r="C423">
        <f>IF(B423='🎯 一鍵查詢'!$C$5,COUNTIF($B$2:B423,'🎯 一鍵查詢'!$C$5),"")</f>
        <v/>
      </c>
    </row>
    <row r="424">
      <c r="A424" t="n">
        <v>24702</v>
      </c>
      <c r="B424" t="n">
        <v>2470</v>
      </c>
      <c r="C424">
        <f>IF(B424='🎯 一鍵查詢'!$C$5,COUNTIF($B$2:B424,'🎯 一鍵查詢'!$C$5),"")</f>
        <v/>
      </c>
    </row>
    <row r="425">
      <c r="A425" t="n">
        <v>24721</v>
      </c>
      <c r="B425" t="n">
        <v>2472</v>
      </c>
      <c r="C425">
        <f>IF(B425='🎯 一鍵查詢'!$C$5,COUNTIF($B$2:B425,'🎯 一鍵查詢'!$C$5),"")</f>
        <v/>
      </c>
    </row>
    <row r="426">
      <c r="A426" t="n">
        <v>24722</v>
      </c>
      <c r="B426" t="n">
        <v>2472</v>
      </c>
      <c r="C426">
        <f>IF(B426='🎯 一鍵查詢'!$C$5,COUNTIF($B$2:B426,'🎯 一鍵查詢'!$C$5),"")</f>
        <v/>
      </c>
    </row>
    <row r="427">
      <c r="A427" t="n">
        <v>24723</v>
      </c>
      <c r="B427" t="n">
        <v>2472</v>
      </c>
      <c r="C427">
        <f>IF(B427='🎯 一鍵查詢'!$C$5,COUNTIF($B$2:B427,'🎯 一鍵查詢'!$C$5),"")</f>
        <v/>
      </c>
    </row>
    <row r="428">
      <c r="A428" t="n">
        <v>24741</v>
      </c>
      <c r="B428" t="n">
        <v>2474</v>
      </c>
      <c r="C428">
        <f>IF(B428='🎯 一鍵查詢'!$C$5,COUNTIF($B$2:B428,'🎯 一鍵查詢'!$C$5),"")</f>
        <v/>
      </c>
    </row>
    <row r="429">
      <c r="A429" t="n">
        <v>24742</v>
      </c>
      <c r="B429" t="n">
        <v>2474</v>
      </c>
      <c r="C429">
        <f>IF(B429='🎯 一鍵查詢'!$C$5,COUNTIF($B$2:B429,'🎯 一鍵查詢'!$C$5),"")</f>
        <v/>
      </c>
    </row>
    <row r="430">
      <c r="A430" t="n">
        <v>24761</v>
      </c>
      <c r="B430" t="n">
        <v>2476</v>
      </c>
      <c r="C430">
        <f>IF(B430='🎯 一鍵查詢'!$C$5,COUNTIF($B$2:B430,'🎯 一鍵查詢'!$C$5),"")</f>
        <v/>
      </c>
    </row>
    <row r="431">
      <c r="A431" t="n">
        <v>24762</v>
      </c>
      <c r="B431" t="n">
        <v>2476</v>
      </c>
      <c r="C431">
        <f>IF(B431='🎯 一鍵查詢'!$C$5,COUNTIF($B$2:B431,'🎯 一鍵查詢'!$C$5),"")</f>
        <v/>
      </c>
    </row>
    <row r="432">
      <c r="A432" t="n">
        <v>24781</v>
      </c>
      <c r="B432" t="n">
        <v>2478</v>
      </c>
      <c r="C432">
        <f>IF(B432='🎯 一鍵查詢'!$C$5,COUNTIF($B$2:B432,'🎯 一鍵查詢'!$C$5),"")</f>
        <v/>
      </c>
    </row>
    <row r="433">
      <c r="A433" t="n">
        <v>24792</v>
      </c>
      <c r="B433" t="n">
        <v>2479</v>
      </c>
      <c r="C433">
        <f>IF(B433='🎯 一鍵查詢'!$C$5,COUNTIF($B$2:B433,'🎯 一鍵查詢'!$C$5),"")</f>
        <v/>
      </c>
    </row>
    <row r="434">
      <c r="A434" t="n">
        <v>24801</v>
      </c>
      <c r="B434" t="n">
        <v>2480</v>
      </c>
      <c r="C434">
        <f>IF(B434='🎯 一鍵查詢'!$C$5,COUNTIF($B$2:B434,'🎯 一鍵查詢'!$C$5),"")</f>
        <v/>
      </c>
    </row>
    <row r="435">
      <c r="A435" t="n">
        <v>24811</v>
      </c>
      <c r="B435" t="n">
        <v>2481</v>
      </c>
      <c r="C435">
        <f>IF(B435='🎯 一鍵查詢'!$C$5,COUNTIF($B$2:B435,'🎯 一鍵查詢'!$C$5),"")</f>
        <v/>
      </c>
    </row>
    <row r="436">
      <c r="A436" t="n">
        <v>24812</v>
      </c>
      <c r="B436" t="n">
        <v>2481</v>
      </c>
      <c r="C436">
        <f>IF(B436='🎯 一鍵查詢'!$C$5,COUNTIF($B$2:B436,'🎯 一鍵查詢'!$C$5),"")</f>
        <v/>
      </c>
    </row>
    <row r="437">
      <c r="A437" t="n">
        <v>24813</v>
      </c>
      <c r="B437" t="n">
        <v>2481</v>
      </c>
      <c r="C437">
        <f>IF(B437='🎯 一鍵查詢'!$C$5,COUNTIF($B$2:B437,'🎯 一鍵查詢'!$C$5),"")</f>
        <v/>
      </c>
    </row>
    <row r="438">
      <c r="A438" t="n">
        <v>24814</v>
      </c>
      <c r="B438" t="n">
        <v>2481</v>
      </c>
      <c r="C438">
        <f>IF(B438='🎯 一鍵查詢'!$C$5,COUNTIF($B$2:B438,'🎯 一鍵查詢'!$C$5),"")</f>
        <v/>
      </c>
    </row>
    <row r="439">
      <c r="A439" t="n">
        <v>24815</v>
      </c>
      <c r="B439" t="n">
        <v>2481</v>
      </c>
      <c r="C439">
        <f>IF(B439='🎯 一鍵查詢'!$C$5,COUNTIF($B$2:B439,'🎯 一鍵查詢'!$C$5),"")</f>
        <v/>
      </c>
    </row>
    <row r="440">
      <c r="A440" t="n">
        <v>24816</v>
      </c>
      <c r="B440" t="n">
        <v>2481</v>
      </c>
      <c r="C440">
        <f>IF(B440='🎯 一鍵查詢'!$C$5,COUNTIF($B$2:B440,'🎯 一鍵查詢'!$C$5),"")</f>
        <v/>
      </c>
    </row>
    <row r="441">
      <c r="A441" t="n">
        <v>24817</v>
      </c>
      <c r="B441" t="n">
        <v>2481</v>
      </c>
      <c r="C441">
        <f>IF(B441='🎯 一鍵查詢'!$C$5,COUNTIF($B$2:B441,'🎯 一鍵查詢'!$C$5),"")</f>
        <v/>
      </c>
    </row>
    <row r="442">
      <c r="A442" t="n">
        <v>24821</v>
      </c>
      <c r="B442" t="n">
        <v>2482</v>
      </c>
      <c r="C442">
        <f>IF(B442='🎯 一鍵查詢'!$C$5,COUNTIF($B$2:B442,'🎯 一鍵查詢'!$C$5),"")</f>
        <v/>
      </c>
    </row>
    <row r="443">
      <c r="A443" t="n">
        <v>24822</v>
      </c>
      <c r="B443" t="n">
        <v>2482</v>
      </c>
      <c r="C443">
        <f>IF(B443='🎯 一鍵查詢'!$C$5,COUNTIF($B$2:B443,'🎯 一鍵查詢'!$C$5),"")</f>
        <v/>
      </c>
    </row>
    <row r="444">
      <c r="A444" t="n">
        <v>24841</v>
      </c>
      <c r="B444" t="n">
        <v>2484</v>
      </c>
      <c r="C444">
        <f>IF(B444='🎯 一鍵查詢'!$C$5,COUNTIF($B$2:B444,'🎯 一鍵查詢'!$C$5),"")</f>
        <v/>
      </c>
    </row>
    <row r="445">
      <c r="A445" t="n">
        <v>24842</v>
      </c>
      <c r="B445" t="n">
        <v>2484</v>
      </c>
      <c r="C445">
        <f>IF(B445='🎯 一鍵查詢'!$C$5,COUNTIF($B$2:B445,'🎯 一鍵查詢'!$C$5),"")</f>
        <v/>
      </c>
    </row>
    <row r="446">
      <c r="A446" t="n">
        <v>24843</v>
      </c>
      <c r="B446" t="n">
        <v>2484</v>
      </c>
      <c r="C446">
        <f>IF(B446='🎯 一鍵查詢'!$C$5,COUNTIF($B$2:B446,'🎯 一鍵查詢'!$C$5),"")</f>
        <v/>
      </c>
    </row>
    <row r="447">
      <c r="A447" t="n">
        <v>24861</v>
      </c>
      <c r="B447" t="n">
        <v>2486</v>
      </c>
      <c r="C447">
        <f>IF(B447='🎯 一鍵查詢'!$C$5,COUNTIF($B$2:B447,'🎯 一鍵查詢'!$C$5),"")</f>
        <v/>
      </c>
    </row>
    <row r="448">
      <c r="A448" t="n">
        <v>24862</v>
      </c>
      <c r="B448" t="n">
        <v>2486</v>
      </c>
      <c r="C448">
        <f>IF(B448='🎯 一鍵查詢'!$C$5,COUNTIF($B$2:B448,'🎯 一鍵查詢'!$C$5),"")</f>
        <v/>
      </c>
    </row>
    <row r="449">
      <c r="A449" t="n">
        <v>24863</v>
      </c>
      <c r="B449" t="n">
        <v>2486</v>
      </c>
      <c r="C449">
        <f>IF(B449='🎯 一鍵查詢'!$C$5,COUNTIF($B$2:B449,'🎯 一鍵查詢'!$C$5),"")</f>
        <v/>
      </c>
    </row>
    <row r="450">
      <c r="A450" t="n">
        <v>24864</v>
      </c>
      <c r="B450" t="n">
        <v>2486</v>
      </c>
      <c r="C450">
        <f>IF(B450='🎯 一鍵查詢'!$C$5,COUNTIF($B$2:B450,'🎯 一鍵查詢'!$C$5),"")</f>
        <v/>
      </c>
    </row>
    <row r="451">
      <c r="A451" t="n">
        <v>24865</v>
      </c>
      <c r="B451" t="n">
        <v>2486</v>
      </c>
      <c r="C451">
        <f>IF(B451='🎯 一鍵查詢'!$C$5,COUNTIF($B$2:B451,'🎯 一鍵查詢'!$C$5),"")</f>
        <v/>
      </c>
    </row>
    <row r="452">
      <c r="A452" t="n">
        <v>24866</v>
      </c>
      <c r="B452" t="n">
        <v>2486</v>
      </c>
      <c r="C452">
        <f>IF(B452='🎯 一鍵查詢'!$C$5,COUNTIF($B$2:B452,'🎯 一鍵查詢'!$C$5),"")</f>
        <v/>
      </c>
    </row>
    <row r="453">
      <c r="A453" t="n">
        <v>24881</v>
      </c>
      <c r="B453" t="n">
        <v>2488</v>
      </c>
      <c r="C453">
        <f>IF(B453='🎯 一鍵查詢'!$C$5,COUNTIF($B$2:B453,'🎯 一鍵查詢'!$C$5),"")</f>
        <v/>
      </c>
    </row>
    <row r="454">
      <c r="A454" t="n">
        <v>24891</v>
      </c>
      <c r="B454" t="n">
        <v>2489</v>
      </c>
      <c r="C454">
        <f>IF(B454='🎯 一鍵查詢'!$C$5,COUNTIF($B$2:B454,'🎯 一鍵查詢'!$C$5),"")</f>
        <v/>
      </c>
    </row>
    <row r="455">
      <c r="A455" t="n">
        <v>24893</v>
      </c>
      <c r="B455" t="n">
        <v>2489</v>
      </c>
      <c r="C455">
        <f>IF(B455='🎯 一鍵查詢'!$C$5,COUNTIF($B$2:B455,'🎯 一鍵查詢'!$C$5),"")</f>
        <v/>
      </c>
    </row>
    <row r="456">
      <c r="A456" t="n">
        <v>24894</v>
      </c>
      <c r="B456" t="n">
        <v>2489</v>
      </c>
      <c r="C456">
        <f>IF(B456='🎯 一鍵查詢'!$C$5,COUNTIF($B$2:B456,'🎯 一鍵查詢'!$C$5),"")</f>
        <v/>
      </c>
    </row>
    <row r="457">
      <c r="A457" t="n">
        <v>24921</v>
      </c>
      <c r="B457" t="n">
        <v>2492</v>
      </c>
      <c r="C457">
        <f>IF(B457='🎯 一鍵查詢'!$C$5,COUNTIF($B$2:B457,'🎯 一鍵查詢'!$C$5),"")</f>
        <v/>
      </c>
    </row>
    <row r="458">
      <c r="A458" t="n">
        <v>24971</v>
      </c>
      <c r="B458" t="n">
        <v>2497</v>
      </c>
      <c r="C458">
        <f>IF(B458='🎯 一鍵查詢'!$C$5,COUNTIF($B$2:B458,'🎯 一鍵查詢'!$C$5),"")</f>
        <v/>
      </c>
    </row>
    <row r="459">
      <c r="A459" t="n">
        <v>24972</v>
      </c>
      <c r="B459" t="n">
        <v>2497</v>
      </c>
      <c r="C459">
        <f>IF(B459='🎯 一鍵查詢'!$C$5,COUNTIF($B$2:B459,'🎯 一鍵查詢'!$C$5),"")</f>
        <v/>
      </c>
    </row>
    <row r="460">
      <c r="A460" t="n">
        <v>24981</v>
      </c>
      <c r="B460" t="n">
        <v>2498</v>
      </c>
      <c r="C460">
        <f>IF(B460='🎯 一鍵查詢'!$C$5,COUNTIF($B$2:B460,'🎯 一鍵查詢'!$C$5),"")</f>
        <v/>
      </c>
    </row>
    <row r="461">
      <c r="A461" t="n">
        <v>24991</v>
      </c>
      <c r="B461" t="n">
        <v>2499</v>
      </c>
      <c r="C461">
        <f>IF(B461='🎯 一鍵查詢'!$C$5,COUNTIF($B$2:B461,'🎯 一鍵查詢'!$C$5),"")</f>
        <v/>
      </c>
    </row>
    <row r="462">
      <c r="A462" t="n">
        <v>24992</v>
      </c>
      <c r="B462" t="n">
        <v>2499</v>
      </c>
      <c r="C462">
        <f>IF(B462='🎯 一鍵查詢'!$C$5,COUNTIF($B$2:B462,'🎯 一鍵查詢'!$C$5),"")</f>
        <v/>
      </c>
    </row>
    <row r="463">
      <c r="A463" t="n">
        <v>24993</v>
      </c>
      <c r="B463" t="n">
        <v>2499</v>
      </c>
      <c r="C463">
        <f>IF(B463='🎯 一鍵查詢'!$C$5,COUNTIF($B$2:B463,'🎯 一鍵查詢'!$C$5),"")</f>
        <v/>
      </c>
    </row>
    <row r="464">
      <c r="A464" t="n">
        <v>25052</v>
      </c>
      <c r="B464" t="n">
        <v>2505</v>
      </c>
      <c r="C464">
        <f>IF(B464='🎯 一鍵查詢'!$C$5,COUNTIF($B$2:B464,'🎯 一鍵查詢'!$C$5),"")</f>
        <v/>
      </c>
    </row>
    <row r="465">
      <c r="A465" t="n">
        <v>25091</v>
      </c>
      <c r="B465" t="n">
        <v>2509</v>
      </c>
      <c r="C465">
        <f>IF(B465='🎯 一鍵查詢'!$C$5,COUNTIF($B$2:B465,'🎯 一鍵查詢'!$C$5),"")</f>
        <v/>
      </c>
    </row>
    <row r="466">
      <c r="A466" t="n">
        <v>25092</v>
      </c>
      <c r="B466" t="n">
        <v>2509</v>
      </c>
      <c r="C466">
        <f>IF(B466='🎯 一鍵查詢'!$C$5,COUNTIF($B$2:B466,'🎯 一鍵查詢'!$C$5),"")</f>
        <v/>
      </c>
    </row>
    <row r="467">
      <c r="A467" t="n">
        <v>25143</v>
      </c>
      <c r="B467" t="n">
        <v>2514</v>
      </c>
      <c r="C467">
        <f>IF(B467='🎯 一鍵查詢'!$C$5,COUNTIF($B$2:B467,'🎯 一鍵查詢'!$C$5),"")</f>
        <v/>
      </c>
    </row>
    <row r="468">
      <c r="A468" t="n">
        <v>25151</v>
      </c>
      <c r="B468" t="n">
        <v>2515</v>
      </c>
      <c r="C468">
        <f>IF(B468='🎯 一鍵查詢'!$C$5,COUNTIF($B$2:B468,'🎯 一鍵查詢'!$C$5),"")</f>
        <v/>
      </c>
    </row>
    <row r="469">
      <c r="A469" t="n">
        <v>25152</v>
      </c>
      <c r="B469" t="n">
        <v>2515</v>
      </c>
      <c r="C469">
        <f>IF(B469='🎯 一鍵查詢'!$C$5,COUNTIF($B$2:B469,'🎯 一鍵查詢'!$C$5),"")</f>
        <v/>
      </c>
    </row>
    <row r="470">
      <c r="A470" t="n">
        <v>25201</v>
      </c>
      <c r="B470" t="n">
        <v>2520</v>
      </c>
      <c r="C470">
        <f>IF(B470='🎯 一鍵查詢'!$C$5,COUNTIF($B$2:B470,'🎯 一鍵查詢'!$C$5),"")</f>
        <v/>
      </c>
    </row>
    <row r="471">
      <c r="A471" t="n">
        <v>25281</v>
      </c>
      <c r="B471" t="n">
        <v>2528</v>
      </c>
      <c r="C471">
        <f>IF(B471='🎯 一鍵查詢'!$C$5,COUNTIF($B$2:B471,'🎯 一鍵查詢'!$C$5),"")</f>
        <v/>
      </c>
    </row>
    <row r="472">
      <c r="A472" t="n">
        <v>25282</v>
      </c>
      <c r="B472" t="n">
        <v>2528</v>
      </c>
      <c r="C472">
        <f>IF(B472='🎯 一鍵查詢'!$C$5,COUNTIF($B$2:B472,'🎯 一鍵查詢'!$C$5),"")</f>
        <v/>
      </c>
    </row>
    <row r="473">
      <c r="A473" t="n">
        <v>25283</v>
      </c>
      <c r="B473" t="n">
        <v>2528</v>
      </c>
      <c r="C473">
        <f>IF(B473='🎯 一鍵查詢'!$C$5,COUNTIF($B$2:B473,'🎯 一鍵查詢'!$C$5),"")</f>
        <v/>
      </c>
    </row>
    <row r="474">
      <c r="A474" t="n">
        <v>25284</v>
      </c>
      <c r="B474" t="n">
        <v>2528</v>
      </c>
      <c r="C474">
        <f>IF(B474='🎯 一鍵查詢'!$C$5,COUNTIF($B$2:B474,'🎯 一鍵查詢'!$C$5),"")</f>
        <v/>
      </c>
    </row>
    <row r="475">
      <c r="A475" t="n">
        <v>25301</v>
      </c>
      <c r="B475" t="n">
        <v>2530</v>
      </c>
      <c r="C475">
        <f>IF(B475='🎯 一鍵查詢'!$C$5,COUNTIF($B$2:B475,'🎯 一鍵查詢'!$C$5),"")</f>
        <v/>
      </c>
    </row>
    <row r="476">
      <c r="A476" t="n">
        <v>25302</v>
      </c>
      <c r="B476" t="n">
        <v>2530</v>
      </c>
      <c r="C476">
        <f>IF(B476='🎯 一鍵查詢'!$C$5,COUNTIF($B$2:B476,'🎯 一鍵查詢'!$C$5),"")</f>
        <v/>
      </c>
    </row>
    <row r="477">
      <c r="A477" t="n">
        <v>25303</v>
      </c>
      <c r="B477" t="n">
        <v>2530</v>
      </c>
      <c r="C477">
        <f>IF(B477='🎯 一鍵查詢'!$C$5,COUNTIF($B$2:B477,'🎯 一鍵查詢'!$C$5),"")</f>
        <v/>
      </c>
    </row>
    <row r="478">
      <c r="A478" t="n">
        <v>25304</v>
      </c>
      <c r="B478" t="n">
        <v>2530</v>
      </c>
      <c r="C478">
        <f>IF(B478='🎯 一鍵查詢'!$C$5,COUNTIF($B$2:B478,'🎯 一鍵查詢'!$C$5),"")</f>
        <v/>
      </c>
    </row>
    <row r="479">
      <c r="A479" t="n">
        <v>25352</v>
      </c>
      <c r="B479" t="n">
        <v>2535</v>
      </c>
      <c r="C479">
        <f>IF(B479='🎯 一鍵查詢'!$C$5,COUNTIF($B$2:B479,'🎯 一鍵查詢'!$C$5),"")</f>
        <v/>
      </c>
    </row>
    <row r="480">
      <c r="A480" t="n">
        <v>25353</v>
      </c>
      <c r="B480" t="n">
        <v>2535</v>
      </c>
      <c r="C480">
        <f>IF(B480='🎯 一鍵查詢'!$C$5,COUNTIF($B$2:B480,'🎯 一鍵查詢'!$C$5),"")</f>
        <v/>
      </c>
    </row>
    <row r="481">
      <c r="A481" t="n">
        <v>25354</v>
      </c>
      <c r="B481" t="n">
        <v>2535</v>
      </c>
      <c r="C481">
        <f>IF(B481='🎯 一鍵查詢'!$C$5,COUNTIF($B$2:B481,'🎯 一鍵查詢'!$C$5),"")</f>
        <v/>
      </c>
    </row>
    <row r="482">
      <c r="A482" t="n">
        <v>25355</v>
      </c>
      <c r="B482" t="n">
        <v>2535</v>
      </c>
      <c r="C482">
        <f>IF(B482='🎯 一鍵查詢'!$C$5,COUNTIF($B$2:B482,'🎯 一鍵查詢'!$C$5),"")</f>
        <v/>
      </c>
    </row>
    <row r="483">
      <c r="A483" t="n">
        <v>25362</v>
      </c>
      <c r="B483" t="n">
        <v>2536</v>
      </c>
      <c r="C483">
        <f>IF(B483='🎯 一鍵查詢'!$C$5,COUNTIF($B$2:B483,'🎯 一鍵查詢'!$C$5),"")</f>
        <v/>
      </c>
    </row>
    <row r="484">
      <c r="A484" t="n">
        <v>25372</v>
      </c>
      <c r="B484" t="n">
        <v>2537</v>
      </c>
      <c r="C484">
        <f>IF(B484='🎯 一鍵查詢'!$C$5,COUNTIF($B$2:B484,'🎯 一鍵查詢'!$C$5),"")</f>
        <v/>
      </c>
    </row>
    <row r="485">
      <c r="A485" t="n">
        <v>25373</v>
      </c>
      <c r="B485" t="n">
        <v>2537</v>
      </c>
      <c r="C485">
        <f>IF(B485='🎯 一鍵查詢'!$C$5,COUNTIF($B$2:B485,'🎯 一鍵查詢'!$C$5),"")</f>
        <v/>
      </c>
    </row>
    <row r="486">
      <c r="A486" t="n">
        <v>25374</v>
      </c>
      <c r="B486" t="n">
        <v>2537</v>
      </c>
      <c r="C486">
        <f>IF(B486='🎯 一鍵查詢'!$C$5,COUNTIF($B$2:B486,'🎯 一鍵查詢'!$C$5),"")</f>
        <v/>
      </c>
    </row>
    <row r="487">
      <c r="A487" t="n">
        <v>25375</v>
      </c>
      <c r="B487" t="n">
        <v>2537</v>
      </c>
      <c r="C487">
        <f>IF(B487='🎯 一鍵查詢'!$C$5,COUNTIF($B$2:B487,'🎯 一鍵查詢'!$C$5),"")</f>
        <v/>
      </c>
    </row>
    <row r="488">
      <c r="A488" t="n">
        <v>25382</v>
      </c>
      <c r="B488" t="n">
        <v>2538</v>
      </c>
      <c r="C488">
        <f>IF(B488='🎯 一鍵查詢'!$C$5,COUNTIF($B$2:B488,'🎯 一鍵查詢'!$C$5),"")</f>
        <v/>
      </c>
    </row>
    <row r="489">
      <c r="A489" t="n">
        <v>25383</v>
      </c>
      <c r="B489" t="n">
        <v>2538</v>
      </c>
      <c r="C489">
        <f>IF(B489='🎯 一鍵查詢'!$C$5,COUNTIF($B$2:B489,'🎯 一鍵查詢'!$C$5),"")</f>
        <v/>
      </c>
    </row>
    <row r="490">
      <c r="A490" t="n">
        <v>25391</v>
      </c>
      <c r="B490" t="n">
        <v>2539</v>
      </c>
      <c r="C490">
        <f>IF(B490='🎯 一鍵查詢'!$C$5,COUNTIF($B$2:B490,'🎯 一鍵查詢'!$C$5),"")</f>
        <v/>
      </c>
    </row>
    <row r="491">
      <c r="A491" t="n">
        <v>25392</v>
      </c>
      <c r="B491" t="n">
        <v>2539</v>
      </c>
      <c r="C491">
        <f>IF(B491='🎯 一鍵查詢'!$C$5,COUNTIF($B$2:B491,'🎯 一鍵查詢'!$C$5),"")</f>
        <v/>
      </c>
    </row>
    <row r="492">
      <c r="A492" t="n">
        <v>25421</v>
      </c>
      <c r="B492" t="n">
        <v>2542</v>
      </c>
      <c r="C492">
        <f>IF(B492='🎯 一鍵查詢'!$C$5,COUNTIF($B$2:B492,'🎯 一鍵查詢'!$C$5),"")</f>
        <v/>
      </c>
    </row>
    <row r="493">
      <c r="A493" t="n">
        <v>25422</v>
      </c>
      <c r="B493" t="n">
        <v>2542</v>
      </c>
      <c r="C493">
        <f>IF(B493='🎯 一鍵查詢'!$C$5,COUNTIF($B$2:B493,'🎯 一鍵查詢'!$C$5),"")</f>
        <v/>
      </c>
    </row>
    <row r="494">
      <c r="A494" t="n">
        <v>25423</v>
      </c>
      <c r="B494" t="n">
        <v>2542</v>
      </c>
      <c r="C494">
        <f>IF(B494='🎯 一鍵查詢'!$C$5,COUNTIF($B$2:B494,'🎯 一鍵查詢'!$C$5),"")</f>
        <v/>
      </c>
    </row>
    <row r="495">
      <c r="A495" t="n">
        <v>25424</v>
      </c>
      <c r="B495" t="n">
        <v>2542</v>
      </c>
      <c r="C495">
        <f>IF(B495='🎯 一鍵查詢'!$C$5,COUNTIF($B$2:B495,'🎯 一鍵查詢'!$C$5),"")</f>
        <v/>
      </c>
    </row>
    <row r="496">
      <c r="A496" t="n">
        <v>25425</v>
      </c>
      <c r="B496" t="n">
        <v>2542</v>
      </c>
      <c r="C496">
        <f>IF(B496='🎯 一鍵查詢'!$C$5,COUNTIF($B$2:B496,'🎯 一鍵查詢'!$C$5),"")</f>
        <v/>
      </c>
    </row>
    <row r="497">
      <c r="A497" t="n">
        <v>25431</v>
      </c>
      <c r="B497" t="n">
        <v>2543</v>
      </c>
      <c r="C497">
        <f>IF(B497='🎯 一鍵查詢'!$C$5,COUNTIF($B$2:B497,'🎯 一鍵查詢'!$C$5),"")</f>
        <v/>
      </c>
    </row>
    <row r="498">
      <c r="A498" t="n">
        <v>25432</v>
      </c>
      <c r="B498" t="n">
        <v>2543</v>
      </c>
      <c r="C498">
        <f>IF(B498='🎯 一鍵查詢'!$C$5,COUNTIF($B$2:B498,'🎯 一鍵查詢'!$C$5),"")</f>
        <v/>
      </c>
    </row>
    <row r="499">
      <c r="A499" t="n">
        <v>25461</v>
      </c>
      <c r="B499" t="n">
        <v>2546</v>
      </c>
      <c r="C499">
        <f>IF(B499='🎯 一鍵查詢'!$C$5,COUNTIF($B$2:B499,'🎯 一鍵查詢'!$C$5),"")</f>
        <v/>
      </c>
    </row>
    <row r="500">
      <c r="A500" t="n">
        <v>25472</v>
      </c>
      <c r="B500" t="n">
        <v>2547</v>
      </c>
      <c r="C500">
        <f>IF(B500='🎯 一鍵查詢'!$C$5,COUNTIF($B$2:B500,'🎯 一鍵查詢'!$C$5),"")</f>
        <v/>
      </c>
    </row>
    <row r="501">
      <c r="A501" t="n">
        <v>25473</v>
      </c>
      <c r="B501" t="n">
        <v>2547</v>
      </c>
      <c r="C501">
        <f>IF(B501='🎯 一鍵查詢'!$C$5,COUNTIF($B$2:B501,'🎯 一鍵查詢'!$C$5),"")</f>
        <v/>
      </c>
    </row>
    <row r="502">
      <c r="A502" t="n">
        <v>25474</v>
      </c>
      <c r="B502" t="n">
        <v>2547</v>
      </c>
      <c r="C502">
        <f>IF(B502='🎯 一鍵查詢'!$C$5,COUNTIF($B$2:B502,'🎯 一鍵查詢'!$C$5),"")</f>
        <v/>
      </c>
    </row>
    <row r="503">
      <c r="A503" t="n">
        <v>25481</v>
      </c>
      <c r="B503" t="n">
        <v>2548</v>
      </c>
      <c r="C503">
        <f>IF(B503='🎯 一鍵查詢'!$C$5,COUNTIF($B$2:B503,'🎯 一鍵查詢'!$C$5),"")</f>
        <v/>
      </c>
    </row>
    <row r="504">
      <c r="A504" t="n">
        <v>25482</v>
      </c>
      <c r="B504" t="n">
        <v>2548</v>
      </c>
      <c r="C504">
        <f>IF(B504='🎯 一鍵查詢'!$C$5,COUNTIF($B$2:B504,'🎯 一鍵查詢'!$C$5),"")</f>
        <v/>
      </c>
    </row>
    <row r="505">
      <c r="A505" t="n">
        <v>25483</v>
      </c>
      <c r="B505" t="n">
        <v>2548</v>
      </c>
      <c r="C505">
        <f>IF(B505='🎯 一鍵查詢'!$C$5,COUNTIF($B$2:B505,'🎯 一鍵查詢'!$C$5),"")</f>
        <v/>
      </c>
    </row>
    <row r="506">
      <c r="A506" t="n">
        <v>25484</v>
      </c>
      <c r="B506" t="n">
        <v>2548</v>
      </c>
      <c r="C506">
        <f>IF(B506='🎯 一鍵查詢'!$C$5,COUNTIF($B$2:B506,'🎯 一鍵查詢'!$C$5),"")</f>
        <v/>
      </c>
    </row>
    <row r="507">
      <c r="A507" t="n">
        <v>25961</v>
      </c>
      <c r="B507" t="n">
        <v>2596</v>
      </c>
      <c r="C507">
        <f>IF(B507='🎯 一鍵查詢'!$C$5,COUNTIF($B$2:B507,'🎯 一鍵查詢'!$C$5),"")</f>
        <v/>
      </c>
    </row>
    <row r="508">
      <c r="A508" t="n">
        <v>25962</v>
      </c>
      <c r="B508" t="n">
        <v>2596</v>
      </c>
      <c r="C508">
        <f>IF(B508='🎯 一鍵查詢'!$C$5,COUNTIF($B$2:B508,'🎯 一鍵查詢'!$C$5),"")</f>
        <v/>
      </c>
    </row>
    <row r="509">
      <c r="A509" t="n">
        <v>26011</v>
      </c>
      <c r="B509" t="n">
        <v>2601</v>
      </c>
      <c r="C509">
        <f>IF(B509='🎯 一鍵查詢'!$C$5,COUNTIF($B$2:B509,'🎯 一鍵查詢'!$C$5),"")</f>
        <v/>
      </c>
    </row>
    <row r="510">
      <c r="A510" t="n">
        <v>26012</v>
      </c>
      <c r="B510" t="n">
        <v>2601</v>
      </c>
      <c r="C510">
        <f>IF(B510='🎯 一鍵查詢'!$C$5,COUNTIF($B$2:B510,'🎯 一鍵查詢'!$C$5),"")</f>
        <v/>
      </c>
    </row>
    <row r="511">
      <c r="A511" t="n">
        <v>26031</v>
      </c>
      <c r="B511" t="n">
        <v>2603</v>
      </c>
      <c r="C511">
        <f>IF(B511='🎯 一鍵查詢'!$C$5,COUNTIF($B$2:B511,'🎯 一鍵查詢'!$C$5),"")</f>
        <v/>
      </c>
    </row>
    <row r="512">
      <c r="A512" t="n">
        <v>26032</v>
      </c>
      <c r="B512" t="n">
        <v>2603</v>
      </c>
      <c r="C512">
        <f>IF(B512='🎯 一鍵查詢'!$C$5,COUNTIF($B$2:B512,'🎯 一鍵查詢'!$C$5),"")</f>
        <v/>
      </c>
    </row>
    <row r="513">
      <c r="A513" t="n">
        <v>26033</v>
      </c>
      <c r="B513" t="n">
        <v>2603</v>
      </c>
      <c r="C513">
        <f>IF(B513='🎯 一鍵查詢'!$C$5,COUNTIF($B$2:B513,'🎯 一鍵查詢'!$C$5),"")</f>
        <v/>
      </c>
    </row>
    <row r="514">
      <c r="A514" t="n">
        <v>26034</v>
      </c>
      <c r="B514" t="n">
        <v>2603</v>
      </c>
      <c r="C514">
        <f>IF(B514='🎯 一鍵查詢'!$C$5,COUNTIF($B$2:B514,'🎯 一鍵查詢'!$C$5),"")</f>
        <v/>
      </c>
    </row>
    <row r="515">
      <c r="A515" t="n">
        <v>26091</v>
      </c>
      <c r="B515" t="n">
        <v>2609</v>
      </c>
      <c r="C515">
        <f>IF(B515='🎯 一鍵查詢'!$C$5,COUNTIF($B$2:B515,'🎯 一鍵查詢'!$C$5),"")</f>
        <v/>
      </c>
    </row>
    <row r="516">
      <c r="A516" t="n">
        <v>26092</v>
      </c>
      <c r="B516" t="n">
        <v>2609</v>
      </c>
      <c r="C516">
        <f>IF(B516='🎯 一鍵查詢'!$C$5,COUNTIF($B$2:B516,'🎯 一鍵查詢'!$C$5),"")</f>
        <v/>
      </c>
    </row>
    <row r="517">
      <c r="A517" t="n">
        <v>26093</v>
      </c>
      <c r="B517" t="n">
        <v>2609</v>
      </c>
      <c r="C517">
        <f>IF(B517='🎯 一鍵查詢'!$C$5,COUNTIF($B$2:B517,'🎯 一鍵查詢'!$C$5),"")</f>
        <v/>
      </c>
    </row>
    <row r="518">
      <c r="A518" t="n">
        <v>26094</v>
      </c>
      <c r="B518" t="n">
        <v>2609</v>
      </c>
      <c r="C518">
        <f>IF(B518='🎯 一鍵查詢'!$C$5,COUNTIF($B$2:B518,'🎯 一鍵查詢'!$C$5),"")</f>
        <v/>
      </c>
    </row>
    <row r="519">
      <c r="A519" t="n">
        <v>26095</v>
      </c>
      <c r="B519" t="n">
        <v>2609</v>
      </c>
      <c r="C519">
        <f>IF(B519='🎯 一鍵查詢'!$C$5,COUNTIF($B$2:B519,'🎯 一鍵查詢'!$C$5),"")</f>
        <v/>
      </c>
    </row>
    <row r="520">
      <c r="A520" t="n">
        <v>26102</v>
      </c>
      <c r="B520" t="n">
        <v>2610</v>
      </c>
      <c r="C520">
        <f>IF(B520='🎯 一鍵查詢'!$C$5,COUNTIF($B$2:B520,'🎯 一鍵查詢'!$C$5),"")</f>
        <v/>
      </c>
    </row>
    <row r="521">
      <c r="A521" t="n">
        <v>26103</v>
      </c>
      <c r="B521" t="n">
        <v>2610</v>
      </c>
      <c r="C521">
        <f>IF(B521='🎯 一鍵查詢'!$C$5,COUNTIF($B$2:B521,'🎯 一鍵查詢'!$C$5),"")</f>
        <v/>
      </c>
    </row>
    <row r="522">
      <c r="A522" t="n">
        <v>26104</v>
      </c>
      <c r="B522" t="n">
        <v>2610</v>
      </c>
      <c r="C522">
        <f>IF(B522='🎯 一鍵查詢'!$C$5,COUNTIF($B$2:B522,'🎯 一鍵查詢'!$C$5),"")</f>
        <v/>
      </c>
    </row>
    <row r="523">
      <c r="A523" t="n">
        <v>26105</v>
      </c>
      <c r="B523" t="n">
        <v>2610</v>
      </c>
      <c r="C523">
        <f>IF(B523='🎯 一鍵查詢'!$C$5,COUNTIF($B$2:B523,'🎯 一鍵查詢'!$C$5),"")</f>
        <v/>
      </c>
    </row>
    <row r="524">
      <c r="A524" t="n">
        <v>26106</v>
      </c>
      <c r="B524" t="n">
        <v>2610</v>
      </c>
      <c r="C524">
        <f>IF(B524='🎯 一鍵查詢'!$C$5,COUNTIF($B$2:B524,'🎯 一鍵查詢'!$C$5),"")</f>
        <v/>
      </c>
    </row>
    <row r="525">
      <c r="A525" t="n">
        <v>26107</v>
      </c>
      <c r="B525" t="n">
        <v>2610</v>
      </c>
      <c r="C525">
        <f>IF(B525='🎯 一鍵查詢'!$C$5,COUNTIF($B$2:B525,'🎯 一鍵查詢'!$C$5),"")</f>
        <v/>
      </c>
    </row>
    <row r="526">
      <c r="A526" t="n">
        <v>26131</v>
      </c>
      <c r="B526" t="n">
        <v>2613</v>
      </c>
      <c r="C526">
        <f>IF(B526='🎯 一鍵查詢'!$C$5,COUNTIF($B$2:B526,'🎯 一鍵查詢'!$C$5),"")</f>
        <v/>
      </c>
    </row>
    <row r="527">
      <c r="A527" t="n">
        <v>26132</v>
      </c>
      <c r="B527" t="n">
        <v>2613</v>
      </c>
      <c r="C527">
        <f>IF(B527='🎯 一鍵查詢'!$C$5,COUNTIF($B$2:B527,'🎯 一鍵查詢'!$C$5),"")</f>
        <v/>
      </c>
    </row>
    <row r="528">
      <c r="A528" t="n">
        <v>26143</v>
      </c>
      <c r="B528" t="n">
        <v>2614</v>
      </c>
      <c r="C528">
        <f>IF(B528='🎯 一鍵查詢'!$C$5,COUNTIF($B$2:B528,'🎯 一鍵查詢'!$C$5),"")</f>
        <v/>
      </c>
    </row>
    <row r="529">
      <c r="A529" t="n">
        <v>26144</v>
      </c>
      <c r="B529" t="n">
        <v>2614</v>
      </c>
      <c r="C529">
        <f>IF(B529='🎯 一鍵查詢'!$C$5,COUNTIF($B$2:B529,'🎯 一鍵查詢'!$C$5),"")</f>
        <v/>
      </c>
    </row>
    <row r="530">
      <c r="A530" t="n">
        <v>26161</v>
      </c>
      <c r="B530" t="n">
        <v>2616</v>
      </c>
      <c r="C530">
        <f>IF(B530='🎯 一鍵查詢'!$C$5,COUNTIF($B$2:B530,'🎯 一鍵查詢'!$C$5),"")</f>
        <v/>
      </c>
    </row>
    <row r="531">
      <c r="A531" t="n">
        <v>26162</v>
      </c>
      <c r="B531" t="n">
        <v>2616</v>
      </c>
      <c r="C531">
        <f>IF(B531='🎯 一鍵查詢'!$C$5,COUNTIF($B$2:B531,'🎯 一鍵查詢'!$C$5),"")</f>
        <v/>
      </c>
    </row>
    <row r="532">
      <c r="A532" t="n">
        <v>26163</v>
      </c>
      <c r="B532" t="n">
        <v>2616</v>
      </c>
      <c r="C532">
        <f>IF(B532='🎯 一鍵查詢'!$C$5,COUNTIF($B$2:B532,'🎯 一鍵查詢'!$C$5),"")</f>
        <v/>
      </c>
    </row>
    <row r="533">
      <c r="A533" t="n">
        <v>26181</v>
      </c>
      <c r="B533" t="n">
        <v>2618</v>
      </c>
      <c r="C533">
        <f>IF(B533='🎯 一鍵查詢'!$C$5,COUNTIF($B$2:B533,'🎯 一鍵查詢'!$C$5),"")</f>
        <v/>
      </c>
    </row>
    <row r="534">
      <c r="A534" t="n">
        <v>26182</v>
      </c>
      <c r="B534" t="n">
        <v>2618</v>
      </c>
      <c r="C534">
        <f>IF(B534='🎯 一鍵查詢'!$C$5,COUNTIF($B$2:B534,'🎯 一鍵查詢'!$C$5),"")</f>
        <v/>
      </c>
    </row>
    <row r="535">
      <c r="A535" t="n">
        <v>26183</v>
      </c>
      <c r="B535" t="n">
        <v>2618</v>
      </c>
      <c r="C535">
        <f>IF(B535='🎯 一鍵查詢'!$C$5,COUNTIF($B$2:B535,'🎯 一鍵查詢'!$C$5),"")</f>
        <v/>
      </c>
    </row>
    <row r="536">
      <c r="A536" t="n">
        <v>26184</v>
      </c>
      <c r="B536" t="n">
        <v>2618</v>
      </c>
      <c r="C536">
        <f>IF(B536='🎯 一鍵查詢'!$C$5,COUNTIF($B$2:B536,'🎯 一鍵查詢'!$C$5),"")</f>
        <v/>
      </c>
    </row>
    <row r="537">
      <c r="A537" t="n">
        <v>26185</v>
      </c>
      <c r="B537" t="n">
        <v>2618</v>
      </c>
      <c r="C537">
        <f>IF(B537='🎯 一鍵查詢'!$C$5,COUNTIF($B$2:B537,'🎯 一鍵查詢'!$C$5),"")</f>
        <v/>
      </c>
    </row>
    <row r="538">
      <c r="A538" t="n">
        <v>26301</v>
      </c>
      <c r="B538" t="n">
        <v>2630</v>
      </c>
      <c r="C538">
        <f>IF(B538='🎯 一鍵查詢'!$C$5,COUNTIF($B$2:B538,'🎯 一鍵查詢'!$C$5),"")</f>
        <v/>
      </c>
    </row>
    <row r="539">
      <c r="A539" t="n">
        <v>26302</v>
      </c>
      <c r="B539" t="n">
        <v>2630</v>
      </c>
      <c r="C539">
        <f>IF(B539='🎯 一鍵查詢'!$C$5,COUNTIF($B$2:B539,'🎯 一鍵查詢'!$C$5),"")</f>
        <v/>
      </c>
    </row>
    <row r="540">
      <c r="A540" t="n">
        <v>26361</v>
      </c>
      <c r="B540" t="n">
        <v>2636</v>
      </c>
      <c r="C540">
        <f>IF(B540='🎯 一鍵查詢'!$C$5,COUNTIF($B$2:B540,'🎯 一鍵查詢'!$C$5),"")</f>
        <v/>
      </c>
    </row>
    <row r="541">
      <c r="A541" t="n">
        <v>26362</v>
      </c>
      <c r="B541" t="n">
        <v>2636</v>
      </c>
      <c r="C541">
        <f>IF(B541='🎯 一鍵查詢'!$C$5,COUNTIF($B$2:B541,'🎯 一鍵查詢'!$C$5),"")</f>
        <v/>
      </c>
    </row>
    <row r="542">
      <c r="A542" t="n">
        <v>26363</v>
      </c>
      <c r="B542" t="n">
        <v>2636</v>
      </c>
      <c r="C542">
        <f>IF(B542='🎯 一鍵查詢'!$C$5,COUNTIF($B$2:B542,'🎯 一鍵查詢'!$C$5),"")</f>
        <v/>
      </c>
    </row>
    <row r="543">
      <c r="A543" t="n">
        <v>26364</v>
      </c>
      <c r="B543" t="n">
        <v>2636</v>
      </c>
      <c r="C543">
        <f>IF(B543='🎯 一鍵查詢'!$C$5,COUNTIF($B$2:B543,'🎯 一鍵查詢'!$C$5),"")</f>
        <v/>
      </c>
    </row>
    <row r="544">
      <c r="A544" t="n">
        <v>26371</v>
      </c>
      <c r="B544" t="n">
        <v>2637</v>
      </c>
      <c r="C544">
        <f>IF(B544='🎯 一鍵查詢'!$C$5,COUNTIF($B$2:B544,'🎯 一鍵查詢'!$C$5),"")</f>
        <v/>
      </c>
    </row>
    <row r="545">
      <c r="A545" t="n">
        <v>26372</v>
      </c>
      <c r="B545" t="n">
        <v>2637</v>
      </c>
      <c r="C545">
        <f>IF(B545='🎯 一鍵查詢'!$C$5,COUNTIF($B$2:B545,'🎯 一鍵查詢'!$C$5),"")</f>
        <v/>
      </c>
    </row>
    <row r="546">
      <c r="A546" t="n">
        <v>26373</v>
      </c>
      <c r="B546" t="n">
        <v>2637</v>
      </c>
      <c r="C546">
        <f>IF(B546='🎯 一鍵查詢'!$C$5,COUNTIF($B$2:B546,'🎯 一鍵查詢'!$C$5),"")</f>
        <v/>
      </c>
    </row>
    <row r="547">
      <c r="A547" t="n">
        <v>26401</v>
      </c>
      <c r="B547" t="n">
        <v>2640</v>
      </c>
      <c r="C547">
        <f>IF(B547='🎯 一鍵查詢'!$C$5,COUNTIF($B$2:B547,'🎯 一鍵查詢'!$C$5),"")</f>
        <v/>
      </c>
    </row>
    <row r="548">
      <c r="A548" t="n">
        <v>26411</v>
      </c>
      <c r="B548" t="n">
        <v>2641</v>
      </c>
      <c r="C548">
        <f>IF(B548='🎯 一鍵查詢'!$C$5,COUNTIF($B$2:B548,'🎯 一鍵查詢'!$C$5),"")</f>
        <v/>
      </c>
    </row>
    <row r="549">
      <c r="A549" t="n">
        <v>26412</v>
      </c>
      <c r="B549" t="n">
        <v>2641</v>
      </c>
      <c r="C549">
        <f>IF(B549='🎯 一鍵查詢'!$C$5,COUNTIF($B$2:B549,'🎯 一鍵查詢'!$C$5),"")</f>
        <v/>
      </c>
    </row>
    <row r="550">
      <c r="A550" t="n">
        <v>26413</v>
      </c>
      <c r="B550" t="n">
        <v>2641</v>
      </c>
      <c r="C550">
        <f>IF(B550='🎯 一鍵查詢'!$C$5,COUNTIF($B$2:B550,'🎯 一鍵查詢'!$C$5),"")</f>
        <v/>
      </c>
    </row>
    <row r="551">
      <c r="A551" t="n">
        <v>26414</v>
      </c>
      <c r="B551" t="n">
        <v>2641</v>
      </c>
      <c r="C551">
        <f>IF(B551='🎯 一鍵查詢'!$C$5,COUNTIF($B$2:B551,'🎯 一鍵查詢'!$C$5),"")</f>
        <v/>
      </c>
    </row>
    <row r="552">
      <c r="A552" t="n">
        <v>26415</v>
      </c>
      <c r="B552" t="n">
        <v>2641</v>
      </c>
      <c r="C552">
        <f>IF(B552='🎯 一鍵查詢'!$C$5,COUNTIF($B$2:B552,'🎯 一鍵查詢'!$C$5),"")</f>
        <v/>
      </c>
    </row>
    <row r="553">
      <c r="A553" t="n">
        <v>26416</v>
      </c>
      <c r="B553" t="n">
        <v>2641</v>
      </c>
      <c r="C553">
        <f>IF(B553='🎯 一鍵查詢'!$C$5,COUNTIF($B$2:B553,'🎯 一鍵查詢'!$C$5),"")</f>
        <v/>
      </c>
    </row>
    <row r="554">
      <c r="A554" t="n">
        <v>26417</v>
      </c>
      <c r="B554" t="n">
        <v>2641</v>
      </c>
      <c r="C554">
        <f>IF(B554='🎯 一鍵查詢'!$C$5,COUNTIF($B$2:B554,'🎯 一鍵查詢'!$C$5),"")</f>
        <v/>
      </c>
    </row>
    <row r="555">
      <c r="A555" t="n">
        <v>26418</v>
      </c>
      <c r="B555" t="n">
        <v>2641</v>
      </c>
      <c r="C555">
        <f>IF(B555='🎯 一鍵查詢'!$C$5,COUNTIF($B$2:B555,'🎯 一鍵查詢'!$C$5),"")</f>
        <v/>
      </c>
    </row>
    <row r="556">
      <c r="A556" t="n">
        <v>27041</v>
      </c>
      <c r="B556" t="n">
        <v>2704</v>
      </c>
      <c r="C556">
        <f>IF(B556='🎯 一鍵查詢'!$C$5,COUNTIF($B$2:B556,'🎯 一鍵查詢'!$C$5),"")</f>
        <v/>
      </c>
    </row>
    <row r="557">
      <c r="A557" t="n">
        <v>27051</v>
      </c>
      <c r="B557" t="n">
        <v>2705</v>
      </c>
      <c r="C557">
        <f>IF(B557='🎯 一鍵查詢'!$C$5,COUNTIF($B$2:B557,'🎯 一鍵查詢'!$C$5),"")</f>
        <v/>
      </c>
    </row>
    <row r="558">
      <c r="A558" t="n">
        <v>27071</v>
      </c>
      <c r="B558" t="n">
        <v>2707</v>
      </c>
      <c r="C558">
        <f>IF(B558='🎯 一鍵查詢'!$C$5,COUNTIF($B$2:B558,'🎯 一鍵查詢'!$C$5),"")</f>
        <v/>
      </c>
    </row>
    <row r="559">
      <c r="A559" t="n">
        <v>27072</v>
      </c>
      <c r="B559" t="n">
        <v>2707</v>
      </c>
      <c r="C559">
        <f>IF(B559='🎯 一鍵查詢'!$C$5,COUNTIF($B$2:B559,'🎯 一鍵查詢'!$C$5),"")</f>
        <v/>
      </c>
    </row>
    <row r="560">
      <c r="A560" t="n">
        <v>27241</v>
      </c>
      <c r="B560" t="n">
        <v>2724</v>
      </c>
      <c r="C560">
        <f>IF(B560='🎯 一鍵查詢'!$C$5,COUNTIF($B$2:B560,'🎯 一鍵查詢'!$C$5),"")</f>
        <v/>
      </c>
    </row>
    <row r="561">
      <c r="A561" t="n">
        <v>27261</v>
      </c>
      <c r="B561" t="n">
        <v>2726</v>
      </c>
      <c r="C561">
        <f>IF(B561='🎯 一鍵查詢'!$C$5,COUNTIF($B$2:B561,'🎯 一鍵查詢'!$C$5),"")</f>
        <v/>
      </c>
    </row>
    <row r="562">
      <c r="A562" t="n">
        <v>27271</v>
      </c>
      <c r="B562" t="n">
        <v>2727</v>
      </c>
      <c r="C562">
        <f>IF(B562='🎯 一鍵查詢'!$C$5,COUNTIF($B$2:B562,'🎯 一鍵查詢'!$C$5),"")</f>
        <v/>
      </c>
    </row>
    <row r="563">
      <c r="A563" t="n">
        <v>27291</v>
      </c>
      <c r="B563" t="n">
        <v>2729</v>
      </c>
      <c r="C563">
        <f>IF(B563='🎯 一鍵查詢'!$C$5,COUNTIF($B$2:B563,'🎯 一鍵查詢'!$C$5),"")</f>
        <v/>
      </c>
    </row>
    <row r="564">
      <c r="A564" t="n">
        <v>27311</v>
      </c>
      <c r="B564" t="n">
        <v>2731</v>
      </c>
      <c r="C564">
        <f>IF(B564='🎯 一鍵查詢'!$C$5,COUNTIF($B$2:B564,'🎯 一鍵查詢'!$C$5),"")</f>
        <v/>
      </c>
    </row>
    <row r="565">
      <c r="A565" t="n">
        <v>27312</v>
      </c>
      <c r="B565" t="n">
        <v>2731</v>
      </c>
      <c r="C565">
        <f>IF(B565='🎯 一鍵查詢'!$C$5,COUNTIF($B$2:B565,'🎯 一鍵查詢'!$C$5),"")</f>
        <v/>
      </c>
    </row>
    <row r="566">
      <c r="A566" t="n">
        <v>27321</v>
      </c>
      <c r="B566" t="n">
        <v>2732</v>
      </c>
      <c r="C566">
        <f>IF(B566='🎯 一鍵查詢'!$C$5,COUNTIF($B$2:B566,'🎯 一鍵查詢'!$C$5),"")</f>
        <v/>
      </c>
    </row>
    <row r="567">
      <c r="A567" t="n">
        <v>27322</v>
      </c>
      <c r="B567" t="n">
        <v>2732</v>
      </c>
      <c r="C567">
        <f>IF(B567='🎯 一鍵查詢'!$C$5,COUNTIF($B$2:B567,'🎯 一鍵查詢'!$C$5),"")</f>
        <v/>
      </c>
    </row>
    <row r="568">
      <c r="A568" t="n">
        <v>27323</v>
      </c>
      <c r="B568" t="n">
        <v>2732</v>
      </c>
      <c r="C568">
        <f>IF(B568='🎯 一鍵查詢'!$C$5,COUNTIF($B$2:B568,'🎯 一鍵查詢'!$C$5),"")</f>
        <v/>
      </c>
    </row>
    <row r="569">
      <c r="A569" t="n">
        <v>27324</v>
      </c>
      <c r="B569" t="n">
        <v>2732</v>
      </c>
      <c r="C569">
        <f>IF(B569='🎯 一鍵查詢'!$C$5,COUNTIF($B$2:B569,'🎯 一鍵查詢'!$C$5),"")</f>
        <v/>
      </c>
    </row>
    <row r="570">
      <c r="A570" t="n">
        <v>27341</v>
      </c>
      <c r="B570" t="n">
        <v>2734</v>
      </c>
      <c r="C570">
        <f>IF(B570='🎯 一鍵查詢'!$C$5,COUNTIF($B$2:B570,'🎯 一鍵查詢'!$C$5),"")</f>
        <v/>
      </c>
    </row>
    <row r="571">
      <c r="A571" t="n">
        <v>27431</v>
      </c>
      <c r="B571" t="n">
        <v>2743</v>
      </c>
      <c r="C571">
        <f>IF(B571='🎯 一鍵查詢'!$C$5,COUNTIF($B$2:B571,'🎯 一鍵查詢'!$C$5),"")</f>
        <v/>
      </c>
    </row>
    <row r="572">
      <c r="A572" t="n">
        <v>27451</v>
      </c>
      <c r="B572" t="n">
        <v>2745</v>
      </c>
      <c r="C572">
        <f>IF(B572='🎯 一鍵查詢'!$C$5,COUNTIF($B$2:B572,'🎯 一鍵查詢'!$C$5),"")</f>
        <v/>
      </c>
    </row>
    <row r="573">
      <c r="A573" t="n">
        <v>27481</v>
      </c>
      <c r="B573" t="n">
        <v>2748</v>
      </c>
      <c r="C573">
        <f>IF(B573='🎯 一鍵查詢'!$C$5,COUNTIF($B$2:B573,'🎯 一鍵查詢'!$C$5),"")</f>
        <v/>
      </c>
    </row>
    <row r="574">
      <c r="A574" t="n">
        <v>27531</v>
      </c>
      <c r="B574" t="n">
        <v>2753</v>
      </c>
      <c r="C574">
        <f>IF(B574='🎯 一鍵查詢'!$C$5,COUNTIF($B$2:B574,'🎯 一鍵查詢'!$C$5),"")</f>
        <v/>
      </c>
    </row>
    <row r="575">
      <c r="A575" t="n">
        <v>27532</v>
      </c>
      <c r="B575" t="n">
        <v>2753</v>
      </c>
      <c r="C575">
        <f>IF(B575='🎯 一鍵查詢'!$C$5,COUNTIF($B$2:B575,'🎯 一鍵查詢'!$C$5),"")</f>
        <v/>
      </c>
    </row>
    <row r="576">
      <c r="A576" t="n">
        <v>27551</v>
      </c>
      <c r="B576" t="n">
        <v>2755</v>
      </c>
      <c r="C576">
        <f>IF(B576='🎯 一鍵查詢'!$C$5,COUNTIF($B$2:B576,'🎯 一鍵查詢'!$C$5),"")</f>
        <v/>
      </c>
    </row>
    <row r="577">
      <c r="A577" t="n">
        <v>27561</v>
      </c>
      <c r="B577" t="n">
        <v>2756</v>
      </c>
      <c r="C577">
        <f>IF(B577='🎯 一鍵查詢'!$C$5,COUNTIF($B$2:B577,'🎯 一鍵查詢'!$C$5),"")</f>
        <v/>
      </c>
    </row>
    <row r="578">
      <c r="A578" t="n">
        <v>28121</v>
      </c>
      <c r="B578" t="n">
        <v>2812</v>
      </c>
      <c r="C578">
        <f>IF(B578='🎯 一鍵查詢'!$C$5,COUNTIF($B$2:B578,'🎯 一鍵查詢'!$C$5),"")</f>
        <v/>
      </c>
    </row>
    <row r="579">
      <c r="A579" t="n">
        <v>28381</v>
      </c>
      <c r="B579" t="n">
        <v>2838</v>
      </c>
      <c r="C579">
        <f>IF(B579='🎯 一鍵查詢'!$C$5,COUNTIF($B$2:B579,'🎯 一鍵查詢'!$C$5),"")</f>
        <v/>
      </c>
    </row>
    <row r="580">
      <c r="A580" t="n">
        <v>28411</v>
      </c>
      <c r="B580" t="n">
        <v>2841</v>
      </c>
      <c r="C580">
        <f>IF(B580='🎯 一鍵查詢'!$C$5,COUNTIF($B$2:B580,'🎯 一鍵查詢'!$C$5),"")</f>
        <v/>
      </c>
    </row>
    <row r="581">
      <c r="A581" t="n">
        <v>28471</v>
      </c>
      <c r="B581" t="n">
        <v>2847</v>
      </c>
      <c r="C581">
        <f>IF(B581='🎯 一鍵查詢'!$C$5,COUNTIF($B$2:B581,'🎯 一鍵查詢'!$C$5),"")</f>
        <v/>
      </c>
    </row>
    <row r="582">
      <c r="A582" t="n">
        <v>28541</v>
      </c>
      <c r="B582" t="n">
        <v>2854</v>
      </c>
      <c r="C582">
        <f>IF(B582='🎯 一鍵查詢'!$C$5,COUNTIF($B$2:B582,'🎯 一鍵查詢'!$C$5),"")</f>
        <v/>
      </c>
    </row>
    <row r="583">
      <c r="A583" t="n">
        <v>28551</v>
      </c>
      <c r="B583" t="n">
        <v>2855</v>
      </c>
      <c r="C583">
        <f>IF(B583='🎯 一鍵查詢'!$C$5,COUNTIF($B$2:B583,'🎯 一鍵查詢'!$C$5),"")</f>
        <v/>
      </c>
    </row>
    <row r="584">
      <c r="A584" t="n">
        <v>28561</v>
      </c>
      <c r="B584" t="n">
        <v>2856</v>
      </c>
      <c r="C584">
        <f>IF(B584='🎯 一鍵查詢'!$C$5,COUNTIF($B$2:B584,'🎯 一鍵查詢'!$C$5),"")</f>
        <v/>
      </c>
    </row>
    <row r="585">
      <c r="A585" t="n">
        <v>28851</v>
      </c>
      <c r="B585" t="n">
        <v>2885</v>
      </c>
      <c r="C585">
        <f>IF(B585='🎯 一鍵查詢'!$C$5,COUNTIF($B$2:B585,'🎯 一鍵查詢'!$C$5),"")</f>
        <v/>
      </c>
    </row>
    <row r="586">
      <c r="A586" t="n">
        <v>28871</v>
      </c>
      <c r="B586" t="n">
        <v>2887</v>
      </c>
      <c r="C586">
        <f>IF(B586='🎯 一鍵查詢'!$C$5,COUNTIF($B$2:B586,'🎯 一鍵查詢'!$C$5),"")</f>
        <v/>
      </c>
    </row>
    <row r="587">
      <c r="A587" t="n">
        <v>28881</v>
      </c>
      <c r="B587" t="n">
        <v>2888</v>
      </c>
      <c r="C587">
        <f>IF(B587='🎯 一鍵查詢'!$C$5,COUNTIF($B$2:B587,'🎯 一鍵查詢'!$C$5),"")</f>
        <v/>
      </c>
    </row>
    <row r="588">
      <c r="A588" t="n">
        <v>28882</v>
      </c>
      <c r="B588" t="n">
        <v>2888</v>
      </c>
      <c r="C588">
        <f>IF(B588='🎯 一鍵查詢'!$C$5,COUNTIF($B$2:B588,'🎯 一鍵查詢'!$C$5),"")</f>
        <v/>
      </c>
    </row>
    <row r="589">
      <c r="A589" t="n">
        <v>28883</v>
      </c>
      <c r="B589" t="n">
        <v>2888</v>
      </c>
      <c r="C589">
        <f>IF(B589='🎯 一鍵查詢'!$C$5,COUNTIF($B$2:B589,'🎯 一鍵查詢'!$C$5),"")</f>
        <v/>
      </c>
    </row>
    <row r="590">
      <c r="A590" t="n">
        <v>28884</v>
      </c>
      <c r="B590" t="n">
        <v>2888</v>
      </c>
      <c r="C590">
        <f>IF(B590='🎯 一鍵查詢'!$C$5,COUNTIF($B$2:B590,'🎯 一鍵查詢'!$C$5),"")</f>
        <v/>
      </c>
    </row>
    <row r="591">
      <c r="A591" t="n">
        <v>28885</v>
      </c>
      <c r="B591" t="n">
        <v>2888</v>
      </c>
      <c r="C591">
        <f>IF(B591='🎯 一鍵查詢'!$C$5,COUNTIF($B$2:B591,'🎯 一鍵查詢'!$C$5),"")</f>
        <v/>
      </c>
    </row>
    <row r="592">
      <c r="A592" t="n">
        <v>28886</v>
      </c>
      <c r="B592" t="n">
        <v>2888</v>
      </c>
      <c r="C592">
        <f>IF(B592='🎯 一鍵查詢'!$C$5,COUNTIF($B$2:B592,'🎯 一鍵查詢'!$C$5),"")</f>
        <v/>
      </c>
    </row>
    <row r="593">
      <c r="A593" t="n">
        <v>28887</v>
      </c>
      <c r="B593" t="n">
        <v>2888</v>
      </c>
      <c r="C593">
        <f>IF(B593='🎯 一鍵查詢'!$C$5,COUNTIF($B$2:B593,'🎯 一鍵查詢'!$C$5),"")</f>
        <v/>
      </c>
    </row>
    <row r="594">
      <c r="A594" t="n">
        <v>29031</v>
      </c>
      <c r="B594" t="n">
        <v>2903</v>
      </c>
      <c r="C594">
        <f>IF(B594='🎯 一鍵查詢'!$C$5,COUNTIF($B$2:B594,'🎯 一鍵查詢'!$C$5),"")</f>
        <v/>
      </c>
    </row>
    <row r="595">
      <c r="A595" t="n">
        <v>29051</v>
      </c>
      <c r="B595" t="n">
        <v>2905</v>
      </c>
      <c r="C595">
        <f>IF(B595='🎯 一鍵查詢'!$C$5,COUNTIF($B$2:B595,'🎯 一鍵查詢'!$C$5),"")</f>
        <v/>
      </c>
    </row>
    <row r="596">
      <c r="A596" t="n">
        <v>29061</v>
      </c>
      <c r="B596" t="n">
        <v>2906</v>
      </c>
      <c r="C596">
        <f>IF(B596='🎯 一鍵查詢'!$C$5,COUNTIF($B$2:B596,'🎯 一鍵查詢'!$C$5),"")</f>
        <v/>
      </c>
    </row>
    <row r="597">
      <c r="A597" t="n">
        <v>29081</v>
      </c>
      <c r="B597" t="n">
        <v>2908</v>
      </c>
      <c r="C597">
        <f>IF(B597='🎯 一鍵查詢'!$C$5,COUNTIF($B$2:B597,'🎯 一鍵查詢'!$C$5),"")</f>
        <v/>
      </c>
    </row>
    <row r="598">
      <c r="A598" t="n">
        <v>29082</v>
      </c>
      <c r="B598" t="n">
        <v>2908</v>
      </c>
      <c r="C598">
        <f>IF(B598='🎯 一鍵查詢'!$C$5,COUNTIF($B$2:B598,'🎯 一鍵查詢'!$C$5),"")</f>
        <v/>
      </c>
    </row>
    <row r="599">
      <c r="A599" t="n">
        <v>29111</v>
      </c>
      <c r="B599" t="n">
        <v>2911</v>
      </c>
      <c r="C599">
        <f>IF(B599='🎯 一鍵查詢'!$C$5,COUNTIF($B$2:B599,'🎯 一鍵查詢'!$C$5),"")</f>
        <v/>
      </c>
    </row>
    <row r="600">
      <c r="A600" t="n">
        <v>29131</v>
      </c>
      <c r="B600" t="n">
        <v>2913</v>
      </c>
      <c r="C600">
        <f>IF(B600='🎯 一鍵查詢'!$C$5,COUNTIF($B$2:B600,'🎯 一鍵查詢'!$C$5),"")</f>
        <v/>
      </c>
    </row>
    <row r="601">
      <c r="A601" t="n">
        <v>29132</v>
      </c>
      <c r="B601" t="n">
        <v>2913</v>
      </c>
      <c r="C601">
        <f>IF(B601='🎯 一鍵查詢'!$C$5,COUNTIF($B$2:B601,'🎯 一鍵查詢'!$C$5),"")</f>
        <v/>
      </c>
    </row>
    <row r="602">
      <c r="A602" t="n">
        <v>29151</v>
      </c>
      <c r="B602" t="n">
        <v>2915</v>
      </c>
      <c r="C602">
        <f>IF(B602='🎯 一鍵查詢'!$C$5,COUNTIF($B$2:B602,'🎯 一鍵查詢'!$C$5),"")</f>
        <v/>
      </c>
    </row>
    <row r="603">
      <c r="A603" t="n">
        <v>29241</v>
      </c>
      <c r="B603" t="n">
        <v>2924</v>
      </c>
      <c r="C603">
        <f>IF(B603='🎯 一鍵查詢'!$C$5,COUNTIF($B$2:B603,'🎯 一鍵查詢'!$C$5),"")</f>
        <v/>
      </c>
    </row>
    <row r="604">
      <c r="A604" t="n">
        <v>29242</v>
      </c>
      <c r="B604" t="n">
        <v>2924</v>
      </c>
      <c r="C604">
        <f>IF(B604='🎯 一鍵查詢'!$C$5,COUNTIF($B$2:B604,'🎯 一鍵查詢'!$C$5),"")</f>
        <v/>
      </c>
    </row>
    <row r="605">
      <c r="A605" t="n">
        <v>29243</v>
      </c>
      <c r="B605" t="n">
        <v>2924</v>
      </c>
      <c r="C605">
        <f>IF(B605='🎯 一鍵查詢'!$C$5,COUNTIF($B$2:B605,'🎯 一鍵查詢'!$C$5),"")</f>
        <v/>
      </c>
    </row>
    <row r="606">
      <c r="A606" t="n">
        <v>29371</v>
      </c>
      <c r="B606" t="n">
        <v>2937</v>
      </c>
      <c r="C606">
        <f>IF(B606='🎯 一鍵查詢'!$C$5,COUNTIF($B$2:B606,'🎯 一鍵查詢'!$C$5),"")</f>
        <v/>
      </c>
    </row>
    <row r="607">
      <c r="A607" t="n">
        <v>30031</v>
      </c>
      <c r="B607" t="n">
        <v>3003</v>
      </c>
      <c r="C607">
        <f>IF(B607='🎯 一鍵查詢'!$C$5,COUNTIF($B$2:B607,'🎯 一鍵查詢'!$C$5),"")</f>
        <v/>
      </c>
    </row>
    <row r="608">
      <c r="A608" t="n">
        <v>30032</v>
      </c>
      <c r="B608" t="n">
        <v>3003</v>
      </c>
      <c r="C608">
        <f>IF(B608='🎯 一鍵查詢'!$C$5,COUNTIF($B$2:B608,'🎯 一鍵查詢'!$C$5),"")</f>
        <v/>
      </c>
    </row>
    <row r="609">
      <c r="A609" t="n">
        <v>30051</v>
      </c>
      <c r="B609" t="n">
        <v>3005</v>
      </c>
      <c r="C609">
        <f>IF(B609='🎯 一鍵查詢'!$C$5,COUNTIF($B$2:B609,'🎯 一鍵查詢'!$C$5),"")</f>
        <v/>
      </c>
    </row>
    <row r="610">
      <c r="A610" t="n">
        <v>30052</v>
      </c>
      <c r="B610" t="n">
        <v>3005</v>
      </c>
      <c r="C610">
        <f>IF(B610='🎯 一鍵查詢'!$C$5,COUNTIF($B$2:B610,'🎯 一鍵查詢'!$C$5),"")</f>
        <v/>
      </c>
    </row>
    <row r="611">
      <c r="A611" t="n">
        <v>30061</v>
      </c>
      <c r="B611" t="n">
        <v>3006</v>
      </c>
      <c r="C611">
        <f>IF(B611='🎯 一鍵查詢'!$C$5,COUNTIF($B$2:B611,'🎯 一鍵查詢'!$C$5),"")</f>
        <v/>
      </c>
    </row>
    <row r="612">
      <c r="A612" t="n">
        <v>30101</v>
      </c>
      <c r="B612" t="n">
        <v>3010</v>
      </c>
      <c r="C612">
        <f>IF(B612='🎯 一鍵查詢'!$C$5,COUNTIF($B$2:B612,'🎯 一鍵查詢'!$C$5),"")</f>
        <v/>
      </c>
    </row>
    <row r="613">
      <c r="A613" t="n">
        <v>30102</v>
      </c>
      <c r="B613" t="n">
        <v>3010</v>
      </c>
      <c r="C613">
        <f>IF(B613='🎯 一鍵查詢'!$C$5,COUNTIF($B$2:B613,'🎯 一鍵查詢'!$C$5),"")</f>
        <v/>
      </c>
    </row>
    <row r="614">
      <c r="A614" t="n">
        <v>30103</v>
      </c>
      <c r="B614" t="n">
        <v>3010</v>
      </c>
      <c r="C614">
        <f>IF(B614='🎯 一鍵查詢'!$C$5,COUNTIF($B$2:B614,'🎯 一鍵查詢'!$C$5),"")</f>
        <v/>
      </c>
    </row>
    <row r="615">
      <c r="A615" t="n">
        <v>30111</v>
      </c>
      <c r="B615" t="n">
        <v>3011</v>
      </c>
      <c r="C615">
        <f>IF(B615='🎯 一鍵查詢'!$C$5,COUNTIF($B$2:B615,'🎯 一鍵查詢'!$C$5),"")</f>
        <v/>
      </c>
    </row>
    <row r="616">
      <c r="A616" t="n">
        <v>30112</v>
      </c>
      <c r="B616" t="n">
        <v>3011</v>
      </c>
      <c r="C616">
        <f>IF(B616='🎯 一鍵查詢'!$C$5,COUNTIF($B$2:B616,'🎯 一鍵查詢'!$C$5),"")</f>
        <v/>
      </c>
    </row>
    <row r="617">
      <c r="A617" t="n">
        <v>30121</v>
      </c>
      <c r="B617" t="n">
        <v>3012</v>
      </c>
      <c r="C617">
        <f>IF(B617='🎯 一鍵查詢'!$C$5,COUNTIF($B$2:B617,'🎯 一鍵查詢'!$C$5),"")</f>
        <v/>
      </c>
    </row>
    <row r="618">
      <c r="A618" t="n">
        <v>30122</v>
      </c>
      <c r="B618" t="n">
        <v>3012</v>
      </c>
      <c r="C618">
        <f>IF(B618='🎯 一鍵查詢'!$C$5,COUNTIF($B$2:B618,'🎯 一鍵查詢'!$C$5),"")</f>
        <v/>
      </c>
    </row>
    <row r="619">
      <c r="A619" t="n">
        <v>30131</v>
      </c>
      <c r="B619" t="n">
        <v>3013</v>
      </c>
      <c r="C619">
        <f>IF(B619='🎯 一鍵查詢'!$C$5,COUNTIF($B$2:B619,'🎯 一鍵查詢'!$C$5),"")</f>
        <v/>
      </c>
    </row>
    <row r="620">
      <c r="A620" t="n">
        <v>30132</v>
      </c>
      <c r="B620" t="n">
        <v>3013</v>
      </c>
      <c r="C620">
        <f>IF(B620='🎯 一鍵查詢'!$C$5,COUNTIF($B$2:B620,'🎯 一鍵查詢'!$C$5),"")</f>
        <v/>
      </c>
    </row>
    <row r="621">
      <c r="A621" t="n">
        <v>30133</v>
      </c>
      <c r="B621" t="n">
        <v>3013</v>
      </c>
      <c r="C621">
        <f>IF(B621='🎯 一鍵查詢'!$C$5,COUNTIF($B$2:B621,'🎯 一鍵查詢'!$C$5),"")</f>
        <v/>
      </c>
    </row>
    <row r="622">
      <c r="A622" t="n">
        <v>30134</v>
      </c>
      <c r="B622" t="n">
        <v>3013</v>
      </c>
      <c r="C622">
        <f>IF(B622='🎯 一鍵查詢'!$C$5,COUNTIF($B$2:B622,'🎯 一鍵查詢'!$C$5),"")</f>
        <v/>
      </c>
    </row>
    <row r="623">
      <c r="A623" t="n">
        <v>30161</v>
      </c>
      <c r="B623" t="n">
        <v>3016</v>
      </c>
      <c r="C623">
        <f>IF(B623='🎯 一鍵查詢'!$C$5,COUNTIF($B$2:B623,'🎯 一鍵查詢'!$C$5),"")</f>
        <v/>
      </c>
    </row>
    <row r="624">
      <c r="A624" t="n">
        <v>30162</v>
      </c>
      <c r="B624" t="n">
        <v>3016</v>
      </c>
      <c r="C624">
        <f>IF(B624='🎯 一鍵查詢'!$C$5,COUNTIF($B$2:B624,'🎯 一鍵查詢'!$C$5),"")</f>
        <v/>
      </c>
    </row>
    <row r="625">
      <c r="A625" t="n">
        <v>30163</v>
      </c>
      <c r="B625" t="n">
        <v>3016</v>
      </c>
      <c r="C625">
        <f>IF(B625='🎯 一鍵查詢'!$C$5,COUNTIF($B$2:B625,'🎯 一鍵查詢'!$C$5),"")</f>
        <v/>
      </c>
    </row>
    <row r="626">
      <c r="A626" t="n">
        <v>30164</v>
      </c>
      <c r="B626" t="n">
        <v>3016</v>
      </c>
      <c r="C626">
        <f>IF(B626='🎯 一鍵查詢'!$C$5,COUNTIF($B$2:B626,'🎯 一鍵查詢'!$C$5),"")</f>
        <v/>
      </c>
    </row>
    <row r="627">
      <c r="A627" t="n">
        <v>30165</v>
      </c>
      <c r="B627" t="n">
        <v>3016</v>
      </c>
      <c r="C627">
        <f>IF(B627='🎯 一鍵查詢'!$C$5,COUNTIF($B$2:B627,'🎯 一鍵查詢'!$C$5),"")</f>
        <v/>
      </c>
    </row>
    <row r="628">
      <c r="A628" t="n">
        <v>30171</v>
      </c>
      <c r="B628" t="n">
        <v>3017</v>
      </c>
      <c r="C628">
        <f>IF(B628='🎯 一鍵查詢'!$C$5,COUNTIF($B$2:B628,'🎯 一鍵查詢'!$C$5),"")</f>
        <v/>
      </c>
    </row>
    <row r="629">
      <c r="A629" t="n">
        <v>30181</v>
      </c>
      <c r="B629" t="n">
        <v>3018</v>
      </c>
      <c r="C629">
        <f>IF(B629='🎯 一鍵查詢'!$C$5,COUNTIF($B$2:B629,'🎯 一鍵查詢'!$C$5),"")</f>
        <v/>
      </c>
    </row>
    <row r="630">
      <c r="A630" t="n">
        <v>30182</v>
      </c>
      <c r="B630" t="n">
        <v>3018</v>
      </c>
      <c r="C630">
        <f>IF(B630='🎯 一鍵查詢'!$C$5,COUNTIF($B$2:B630,'🎯 一鍵查詢'!$C$5),"")</f>
        <v/>
      </c>
    </row>
    <row r="631">
      <c r="A631" t="n">
        <v>30183</v>
      </c>
      <c r="B631" t="n">
        <v>3018</v>
      </c>
      <c r="C631">
        <f>IF(B631='🎯 一鍵查詢'!$C$5,COUNTIF($B$2:B631,'🎯 一鍵查詢'!$C$5),"")</f>
        <v/>
      </c>
    </row>
    <row r="632">
      <c r="A632" t="n">
        <v>30184</v>
      </c>
      <c r="B632" t="n">
        <v>3018</v>
      </c>
      <c r="C632">
        <f>IF(B632='🎯 一鍵查詢'!$C$5,COUNTIF($B$2:B632,'🎯 一鍵查詢'!$C$5),"")</f>
        <v/>
      </c>
    </row>
    <row r="633">
      <c r="A633" t="n">
        <v>30191</v>
      </c>
      <c r="B633" t="n">
        <v>3019</v>
      </c>
      <c r="C633">
        <f>IF(B633='🎯 一鍵查詢'!$C$5,COUNTIF($B$2:B633,'🎯 一鍵查詢'!$C$5),"")</f>
        <v/>
      </c>
    </row>
    <row r="634">
      <c r="A634" t="n">
        <v>30192</v>
      </c>
      <c r="B634" t="n">
        <v>3019</v>
      </c>
      <c r="C634">
        <f>IF(B634='🎯 一鍵查詢'!$C$5,COUNTIF($B$2:B634,'🎯 一鍵查詢'!$C$5),"")</f>
        <v/>
      </c>
    </row>
    <row r="635">
      <c r="A635" t="n">
        <v>30193</v>
      </c>
      <c r="B635" t="n">
        <v>3019</v>
      </c>
      <c r="C635">
        <f>IF(B635='🎯 一鍵查詢'!$C$5,COUNTIF($B$2:B635,'🎯 一鍵查詢'!$C$5),"")</f>
        <v/>
      </c>
    </row>
    <row r="636">
      <c r="A636" t="n">
        <v>30194</v>
      </c>
      <c r="B636" t="n">
        <v>3019</v>
      </c>
      <c r="C636">
        <f>IF(B636='🎯 一鍵查詢'!$C$5,COUNTIF($B$2:B636,'🎯 一鍵查詢'!$C$5),"")</f>
        <v/>
      </c>
    </row>
    <row r="637">
      <c r="A637" t="n">
        <v>30201</v>
      </c>
      <c r="B637" t="n">
        <v>3020</v>
      </c>
      <c r="C637">
        <f>IF(B637='🎯 一鍵查詢'!$C$5,COUNTIF($B$2:B637,'🎯 一鍵查詢'!$C$5),"")</f>
        <v/>
      </c>
    </row>
    <row r="638">
      <c r="A638" t="n">
        <v>30211</v>
      </c>
      <c r="B638" t="n">
        <v>3021</v>
      </c>
      <c r="C638">
        <f>IF(B638='🎯 一鍵查詢'!$C$5,COUNTIF($B$2:B638,'🎯 一鍵查詢'!$C$5),"")</f>
        <v/>
      </c>
    </row>
    <row r="639">
      <c r="A639" t="n">
        <v>30221</v>
      </c>
      <c r="B639" t="n">
        <v>3022</v>
      </c>
      <c r="C639">
        <f>IF(B639='🎯 一鍵查詢'!$C$5,COUNTIF($B$2:B639,'🎯 一鍵查詢'!$C$5),"")</f>
        <v/>
      </c>
    </row>
    <row r="640">
      <c r="A640" t="n">
        <v>30232</v>
      </c>
      <c r="B640" t="n">
        <v>3023</v>
      </c>
      <c r="C640">
        <f>IF(B640='🎯 一鍵查詢'!$C$5,COUNTIF($B$2:B640,'🎯 一鍵查詢'!$C$5),"")</f>
        <v/>
      </c>
    </row>
    <row r="641">
      <c r="A641" t="n">
        <v>30233</v>
      </c>
      <c r="B641" t="n">
        <v>3023</v>
      </c>
      <c r="C641">
        <f>IF(B641='🎯 一鍵查詢'!$C$5,COUNTIF($B$2:B641,'🎯 一鍵查詢'!$C$5),"")</f>
        <v/>
      </c>
    </row>
    <row r="642">
      <c r="A642" t="n">
        <v>30234</v>
      </c>
      <c r="B642" t="n">
        <v>3023</v>
      </c>
      <c r="C642">
        <f>IF(B642='🎯 一鍵查詢'!$C$5,COUNTIF($B$2:B642,'🎯 一鍵查詢'!$C$5),"")</f>
        <v/>
      </c>
    </row>
    <row r="643">
      <c r="A643" t="n">
        <v>30235</v>
      </c>
      <c r="B643" t="n">
        <v>3023</v>
      </c>
      <c r="C643">
        <f>IF(B643='🎯 一鍵查詢'!$C$5,COUNTIF($B$2:B643,'🎯 一鍵查詢'!$C$5),"")</f>
        <v/>
      </c>
    </row>
    <row r="644">
      <c r="A644" t="n">
        <v>30236</v>
      </c>
      <c r="B644" t="n">
        <v>3023</v>
      </c>
      <c r="C644">
        <f>IF(B644='🎯 一鍵查詢'!$C$5,COUNTIF($B$2:B644,'🎯 一鍵查詢'!$C$5),"")</f>
        <v/>
      </c>
    </row>
    <row r="645">
      <c r="A645" t="n">
        <v>30237</v>
      </c>
      <c r="B645" t="n">
        <v>3023</v>
      </c>
      <c r="C645">
        <f>IF(B645='🎯 一鍵查詢'!$C$5,COUNTIF($B$2:B645,'🎯 一鍵查詢'!$C$5),"")</f>
        <v/>
      </c>
    </row>
    <row r="646">
      <c r="A646" t="n">
        <v>30238</v>
      </c>
      <c r="B646" t="n">
        <v>3023</v>
      </c>
      <c r="C646">
        <f>IF(B646='🎯 一鍵查詢'!$C$5,COUNTIF($B$2:B646,'🎯 一鍵查詢'!$C$5),"")</f>
        <v/>
      </c>
    </row>
    <row r="647">
      <c r="A647" t="n">
        <v>30241</v>
      </c>
      <c r="B647" t="n">
        <v>3024</v>
      </c>
      <c r="C647">
        <f>IF(B647='🎯 一鍵查詢'!$C$5,COUNTIF($B$2:B647,'🎯 一鍵查詢'!$C$5),"")</f>
        <v/>
      </c>
    </row>
    <row r="648">
      <c r="A648" t="n">
        <v>30251</v>
      </c>
      <c r="B648" t="n">
        <v>3025</v>
      </c>
      <c r="C648">
        <f>IF(B648='🎯 一鍵查詢'!$C$5,COUNTIF($B$2:B648,'🎯 一鍵查詢'!$C$5),"")</f>
        <v/>
      </c>
    </row>
    <row r="649">
      <c r="A649" t="n">
        <v>30261</v>
      </c>
      <c r="B649" t="n">
        <v>3026</v>
      </c>
      <c r="C649">
        <f>IF(B649='🎯 一鍵查詢'!$C$5,COUNTIF($B$2:B649,'🎯 一鍵查詢'!$C$5),"")</f>
        <v/>
      </c>
    </row>
    <row r="650">
      <c r="A650" t="n">
        <v>30262</v>
      </c>
      <c r="B650" t="n">
        <v>3026</v>
      </c>
      <c r="C650">
        <f>IF(B650='🎯 一鍵查詢'!$C$5,COUNTIF($B$2:B650,'🎯 一鍵查詢'!$C$5),"")</f>
        <v/>
      </c>
    </row>
    <row r="651">
      <c r="A651" t="n">
        <v>30263</v>
      </c>
      <c r="B651" t="n">
        <v>3026</v>
      </c>
      <c r="C651">
        <f>IF(B651='🎯 一鍵查詢'!$C$5,COUNTIF($B$2:B651,'🎯 一鍵查詢'!$C$5),"")</f>
        <v/>
      </c>
    </row>
    <row r="652">
      <c r="A652" t="n">
        <v>30271</v>
      </c>
      <c r="B652" t="n">
        <v>3027</v>
      </c>
      <c r="C652">
        <f>IF(B652='🎯 一鍵查詢'!$C$5,COUNTIF($B$2:B652,'🎯 一鍵查詢'!$C$5),"")</f>
        <v/>
      </c>
    </row>
    <row r="653">
      <c r="A653" t="n">
        <v>30281</v>
      </c>
      <c r="B653" t="n">
        <v>3028</v>
      </c>
      <c r="C653">
        <f>IF(B653='🎯 一鍵查詢'!$C$5,COUNTIF($B$2:B653,'🎯 一鍵查詢'!$C$5),"")</f>
        <v/>
      </c>
    </row>
    <row r="654">
      <c r="A654" t="n">
        <v>30282</v>
      </c>
      <c r="B654" t="n">
        <v>3028</v>
      </c>
      <c r="C654">
        <f>IF(B654='🎯 一鍵查詢'!$C$5,COUNTIF($B$2:B654,'🎯 一鍵查詢'!$C$5),"")</f>
        <v/>
      </c>
    </row>
    <row r="655">
      <c r="A655" t="n">
        <v>30283</v>
      </c>
      <c r="B655" t="n">
        <v>3028</v>
      </c>
      <c r="C655">
        <f>IF(B655='🎯 一鍵查詢'!$C$5,COUNTIF($B$2:B655,'🎯 一鍵查詢'!$C$5),"")</f>
        <v/>
      </c>
    </row>
    <row r="656">
      <c r="A656" t="n">
        <v>30284</v>
      </c>
      <c r="B656" t="n">
        <v>3028</v>
      </c>
      <c r="C656">
        <f>IF(B656='🎯 一鍵查詢'!$C$5,COUNTIF($B$2:B656,'🎯 一鍵查詢'!$C$5),"")</f>
        <v/>
      </c>
    </row>
    <row r="657">
      <c r="A657" t="n">
        <v>30291</v>
      </c>
      <c r="B657" t="n">
        <v>3029</v>
      </c>
      <c r="C657">
        <f>IF(B657='🎯 一鍵查詢'!$C$5,COUNTIF($B$2:B657,'🎯 一鍵查詢'!$C$5),"")</f>
        <v/>
      </c>
    </row>
    <row r="658">
      <c r="A658" t="n">
        <v>30292</v>
      </c>
      <c r="B658" t="n">
        <v>3029</v>
      </c>
      <c r="C658">
        <f>IF(B658='🎯 一鍵查詢'!$C$5,COUNTIF($B$2:B658,'🎯 一鍵查詢'!$C$5),"")</f>
        <v/>
      </c>
    </row>
    <row r="659">
      <c r="A659" t="n">
        <v>30321</v>
      </c>
      <c r="B659" t="n">
        <v>3032</v>
      </c>
      <c r="C659">
        <f>IF(B659='🎯 一鍵查詢'!$C$5,COUNTIF($B$2:B659,'🎯 一鍵查詢'!$C$5),"")</f>
        <v/>
      </c>
    </row>
    <row r="660">
      <c r="A660" t="n">
        <v>30322</v>
      </c>
      <c r="B660" t="n">
        <v>3032</v>
      </c>
      <c r="C660">
        <f>IF(B660='🎯 一鍵查詢'!$C$5,COUNTIF($B$2:B660,'🎯 一鍵查詢'!$C$5),"")</f>
        <v/>
      </c>
    </row>
    <row r="661">
      <c r="A661" t="n">
        <v>30331</v>
      </c>
      <c r="B661" t="n">
        <v>3033</v>
      </c>
      <c r="C661">
        <f>IF(B661='🎯 一鍵查詢'!$C$5,COUNTIF($B$2:B661,'🎯 一鍵查詢'!$C$5),"")</f>
        <v/>
      </c>
    </row>
    <row r="662">
      <c r="A662" t="n">
        <v>30332</v>
      </c>
      <c r="B662" t="n">
        <v>3033</v>
      </c>
      <c r="C662">
        <f>IF(B662='🎯 一鍵查詢'!$C$5,COUNTIF($B$2:B662,'🎯 一鍵查詢'!$C$5),"")</f>
        <v/>
      </c>
    </row>
    <row r="663">
      <c r="A663" t="n">
        <v>30333</v>
      </c>
      <c r="B663" t="n">
        <v>3033</v>
      </c>
      <c r="C663">
        <f>IF(B663='🎯 一鍵查詢'!$C$5,COUNTIF($B$2:B663,'🎯 一鍵查詢'!$C$5),"")</f>
        <v/>
      </c>
    </row>
    <row r="664">
      <c r="A664" t="n">
        <v>30334</v>
      </c>
      <c r="B664" t="n">
        <v>3033</v>
      </c>
      <c r="C664">
        <f>IF(B664='🎯 一鍵查詢'!$C$5,COUNTIF($B$2:B664,'🎯 一鍵查詢'!$C$5),"")</f>
        <v/>
      </c>
    </row>
    <row r="665">
      <c r="A665" t="n">
        <v>30335</v>
      </c>
      <c r="B665" t="n">
        <v>3033</v>
      </c>
      <c r="C665">
        <f>IF(B665='🎯 一鍵查詢'!$C$5,COUNTIF($B$2:B665,'🎯 一鍵查詢'!$C$5),"")</f>
        <v/>
      </c>
    </row>
    <row r="666">
      <c r="A666" t="n">
        <v>30336</v>
      </c>
      <c r="B666" t="n">
        <v>3033</v>
      </c>
      <c r="C666">
        <f>IF(B666='🎯 一鍵查詢'!$C$5,COUNTIF($B$2:B666,'🎯 一鍵查詢'!$C$5),"")</f>
        <v/>
      </c>
    </row>
    <row r="667">
      <c r="A667" t="n">
        <v>30337</v>
      </c>
      <c r="B667" t="n">
        <v>3033</v>
      </c>
      <c r="C667">
        <f>IF(B667='🎯 一鍵查詢'!$C$5,COUNTIF($B$2:B667,'🎯 一鍵查詢'!$C$5),"")</f>
        <v/>
      </c>
    </row>
    <row r="668">
      <c r="A668" t="n">
        <v>30341</v>
      </c>
      <c r="B668" t="n">
        <v>3034</v>
      </c>
      <c r="C668">
        <f>IF(B668='🎯 一鍵查詢'!$C$5,COUNTIF($B$2:B668,'🎯 一鍵查詢'!$C$5),"")</f>
        <v/>
      </c>
    </row>
    <row r="669">
      <c r="A669" t="n">
        <v>30342</v>
      </c>
      <c r="B669" t="n">
        <v>3034</v>
      </c>
      <c r="C669">
        <f>IF(B669='🎯 一鍵查詢'!$C$5,COUNTIF($B$2:B669,'🎯 一鍵查詢'!$C$5),"")</f>
        <v/>
      </c>
    </row>
    <row r="670">
      <c r="A670" t="n">
        <v>30362</v>
      </c>
      <c r="B670" t="n">
        <v>3036</v>
      </c>
      <c r="C670">
        <f>IF(B670='🎯 一鍵查詢'!$C$5,COUNTIF($B$2:B670,'🎯 一鍵查詢'!$C$5),"")</f>
        <v/>
      </c>
    </row>
    <row r="671">
      <c r="A671" t="n">
        <v>30363</v>
      </c>
      <c r="B671" t="n">
        <v>3036</v>
      </c>
      <c r="C671">
        <f>IF(B671='🎯 一鍵查詢'!$C$5,COUNTIF($B$2:B671,'🎯 一鍵查詢'!$C$5),"")</f>
        <v/>
      </c>
    </row>
    <row r="672">
      <c r="A672" t="n">
        <v>30364</v>
      </c>
      <c r="B672" t="n">
        <v>3036</v>
      </c>
      <c r="C672">
        <f>IF(B672='🎯 一鍵查詢'!$C$5,COUNTIF($B$2:B672,'🎯 一鍵查詢'!$C$5),"")</f>
        <v/>
      </c>
    </row>
    <row r="673">
      <c r="A673" t="n">
        <v>30365</v>
      </c>
      <c r="B673" t="n">
        <v>3036</v>
      </c>
      <c r="C673">
        <f>IF(B673='🎯 一鍵查詢'!$C$5,COUNTIF($B$2:B673,'🎯 一鍵查詢'!$C$5),"")</f>
        <v/>
      </c>
    </row>
    <row r="674">
      <c r="A674" t="n">
        <v>30366</v>
      </c>
      <c r="B674" t="n">
        <v>3036</v>
      </c>
      <c r="C674">
        <f>IF(B674='🎯 一鍵查詢'!$C$5,COUNTIF($B$2:B674,'🎯 一鍵查詢'!$C$5),"")</f>
        <v/>
      </c>
    </row>
    <row r="675">
      <c r="A675" t="n">
        <v>30371</v>
      </c>
      <c r="B675" t="n">
        <v>3037</v>
      </c>
      <c r="C675">
        <f>IF(B675='🎯 一鍵查詢'!$C$5,COUNTIF($B$2:B675,'🎯 一鍵查詢'!$C$5),"")</f>
        <v/>
      </c>
    </row>
    <row r="676">
      <c r="A676" t="n">
        <v>30381</v>
      </c>
      <c r="B676" t="n">
        <v>3038</v>
      </c>
      <c r="C676">
        <f>IF(B676='🎯 一鍵查詢'!$C$5,COUNTIF($B$2:B676,'🎯 一鍵查詢'!$C$5),"")</f>
        <v/>
      </c>
    </row>
    <row r="677">
      <c r="A677" t="n">
        <v>30382</v>
      </c>
      <c r="B677" t="n">
        <v>3038</v>
      </c>
      <c r="C677">
        <f>IF(B677='🎯 一鍵查詢'!$C$5,COUNTIF($B$2:B677,'🎯 一鍵查詢'!$C$5),"")</f>
        <v/>
      </c>
    </row>
    <row r="678">
      <c r="A678" t="n">
        <v>30383</v>
      </c>
      <c r="B678" t="n">
        <v>3038</v>
      </c>
      <c r="C678">
        <f>IF(B678='🎯 一鍵查詢'!$C$5,COUNTIF($B$2:B678,'🎯 一鍵查詢'!$C$5),"")</f>
        <v/>
      </c>
    </row>
    <row r="679">
      <c r="A679" t="n">
        <v>30384</v>
      </c>
      <c r="B679" t="n">
        <v>3038</v>
      </c>
      <c r="C679">
        <f>IF(B679='🎯 一鍵查詢'!$C$5,COUNTIF($B$2:B679,'🎯 一鍵查詢'!$C$5),"")</f>
        <v/>
      </c>
    </row>
    <row r="680">
      <c r="A680" t="n">
        <v>30391</v>
      </c>
      <c r="B680" t="n">
        <v>3039</v>
      </c>
      <c r="C680">
        <f>IF(B680='🎯 一鍵查詢'!$C$5,COUNTIF($B$2:B680,'🎯 一鍵查詢'!$C$5),"")</f>
        <v/>
      </c>
    </row>
    <row r="681">
      <c r="A681" t="n">
        <v>30392</v>
      </c>
      <c r="B681" t="n">
        <v>3039</v>
      </c>
      <c r="C681">
        <f>IF(B681='🎯 一鍵查詢'!$C$5,COUNTIF($B$2:B681,'🎯 一鍵查詢'!$C$5),"")</f>
        <v/>
      </c>
    </row>
    <row r="682">
      <c r="A682" t="n">
        <v>30401</v>
      </c>
      <c r="B682" t="n">
        <v>3040</v>
      </c>
      <c r="C682">
        <f>IF(B682='🎯 一鍵查詢'!$C$5,COUNTIF($B$2:B682,'🎯 一鍵查詢'!$C$5),"")</f>
        <v/>
      </c>
    </row>
    <row r="683">
      <c r="A683" t="n">
        <v>30411</v>
      </c>
      <c r="B683" t="n">
        <v>3041</v>
      </c>
      <c r="C683">
        <f>IF(B683='🎯 一鍵查詢'!$C$5,COUNTIF($B$2:B683,'🎯 一鍵查詢'!$C$5),"")</f>
        <v/>
      </c>
    </row>
    <row r="684">
      <c r="A684" t="n">
        <v>30421</v>
      </c>
      <c r="B684" t="n">
        <v>3042</v>
      </c>
      <c r="C684">
        <f>IF(B684='🎯 一鍵查詢'!$C$5,COUNTIF($B$2:B684,'🎯 一鍵查詢'!$C$5),"")</f>
        <v/>
      </c>
    </row>
    <row r="685">
      <c r="A685" t="n">
        <v>30422</v>
      </c>
      <c r="B685" t="n">
        <v>3042</v>
      </c>
      <c r="C685">
        <f>IF(B685='🎯 一鍵查詢'!$C$5,COUNTIF($B$2:B685,'🎯 一鍵查詢'!$C$5),"")</f>
        <v/>
      </c>
    </row>
    <row r="686">
      <c r="A686" t="n">
        <v>30423</v>
      </c>
      <c r="B686" t="n">
        <v>3042</v>
      </c>
      <c r="C686">
        <f>IF(B686='🎯 一鍵查詢'!$C$5,COUNTIF($B$2:B686,'🎯 一鍵查詢'!$C$5),"")</f>
        <v/>
      </c>
    </row>
    <row r="687">
      <c r="A687" t="n">
        <v>30424</v>
      </c>
      <c r="B687" t="n">
        <v>3042</v>
      </c>
      <c r="C687">
        <f>IF(B687='🎯 一鍵查詢'!$C$5,COUNTIF($B$2:B687,'🎯 一鍵查詢'!$C$5),"")</f>
        <v/>
      </c>
    </row>
    <row r="688">
      <c r="A688" t="n">
        <v>30425</v>
      </c>
      <c r="B688" t="n">
        <v>3042</v>
      </c>
      <c r="C688">
        <f>IF(B688='🎯 一鍵查詢'!$C$5,COUNTIF($B$2:B688,'🎯 一鍵查詢'!$C$5),"")</f>
        <v/>
      </c>
    </row>
    <row r="689">
      <c r="A689" t="n">
        <v>30431</v>
      </c>
      <c r="B689" t="n">
        <v>3043</v>
      </c>
      <c r="C689">
        <f>IF(B689='🎯 一鍵查詢'!$C$5,COUNTIF($B$2:B689,'🎯 一鍵查詢'!$C$5),"")</f>
        <v/>
      </c>
    </row>
    <row r="690">
      <c r="A690" t="n">
        <v>30432</v>
      </c>
      <c r="B690" t="n">
        <v>3043</v>
      </c>
      <c r="C690">
        <f>IF(B690='🎯 一鍵查詢'!$C$5,COUNTIF($B$2:B690,'🎯 一鍵查詢'!$C$5),"")</f>
        <v/>
      </c>
    </row>
    <row r="691">
      <c r="A691" t="n">
        <v>30451</v>
      </c>
      <c r="B691" t="n">
        <v>3045</v>
      </c>
      <c r="C691">
        <f>IF(B691='🎯 一鍵查詢'!$C$5,COUNTIF($B$2:B691,'🎯 一鍵查詢'!$C$5),"")</f>
        <v/>
      </c>
    </row>
    <row r="692">
      <c r="A692" t="n">
        <v>30452</v>
      </c>
      <c r="B692" t="n">
        <v>3045</v>
      </c>
      <c r="C692">
        <f>IF(B692='🎯 一鍵查詢'!$C$5,COUNTIF($B$2:B692,'🎯 一鍵查詢'!$C$5),"")</f>
        <v/>
      </c>
    </row>
    <row r="693">
      <c r="A693" t="n">
        <v>30453</v>
      </c>
      <c r="B693" t="n">
        <v>3045</v>
      </c>
      <c r="C693">
        <f>IF(B693='🎯 一鍵查詢'!$C$5,COUNTIF($B$2:B693,'🎯 一鍵查詢'!$C$5),"")</f>
        <v/>
      </c>
    </row>
    <row r="694">
      <c r="A694" t="n">
        <v>30454</v>
      </c>
      <c r="B694" t="n">
        <v>3045</v>
      </c>
      <c r="C694">
        <f>IF(B694='🎯 一鍵查詢'!$C$5,COUNTIF($B$2:B694,'🎯 一鍵查詢'!$C$5),"")</f>
        <v/>
      </c>
    </row>
    <row r="695">
      <c r="A695" t="n">
        <v>30455</v>
      </c>
      <c r="B695" t="n">
        <v>3045</v>
      </c>
      <c r="C695">
        <f>IF(B695='🎯 一鍵查詢'!$C$5,COUNTIF($B$2:B695,'🎯 一鍵查詢'!$C$5),"")</f>
        <v/>
      </c>
    </row>
    <row r="696">
      <c r="A696" t="n">
        <v>30471</v>
      </c>
      <c r="B696" t="n">
        <v>3047</v>
      </c>
      <c r="C696">
        <f>IF(B696='🎯 一鍵查詢'!$C$5,COUNTIF($B$2:B696,'🎯 一鍵查詢'!$C$5),"")</f>
        <v/>
      </c>
    </row>
    <row r="697">
      <c r="A697" t="n">
        <v>30472</v>
      </c>
      <c r="B697" t="n">
        <v>3047</v>
      </c>
      <c r="C697">
        <f>IF(B697='🎯 一鍵查詢'!$C$5,COUNTIF($B$2:B697,'🎯 一鍵查詢'!$C$5),"")</f>
        <v/>
      </c>
    </row>
    <row r="698">
      <c r="A698" t="n">
        <v>30473</v>
      </c>
      <c r="B698" t="n">
        <v>3047</v>
      </c>
      <c r="C698">
        <f>IF(B698='🎯 一鍵查詢'!$C$5,COUNTIF($B$2:B698,'🎯 一鍵查詢'!$C$5),"")</f>
        <v/>
      </c>
    </row>
    <row r="699">
      <c r="A699" t="n">
        <v>30474</v>
      </c>
      <c r="B699" t="n">
        <v>3047</v>
      </c>
      <c r="C699">
        <f>IF(B699='🎯 一鍵查詢'!$C$5,COUNTIF($B$2:B699,'🎯 一鍵查詢'!$C$5),"")</f>
        <v/>
      </c>
    </row>
    <row r="700">
      <c r="A700" t="n">
        <v>30475</v>
      </c>
      <c r="B700" t="n">
        <v>3047</v>
      </c>
      <c r="C700">
        <f>IF(B700='🎯 一鍵查詢'!$C$5,COUNTIF($B$2:B700,'🎯 一鍵查詢'!$C$5),"")</f>
        <v/>
      </c>
    </row>
    <row r="701">
      <c r="A701" t="n">
        <v>30476</v>
      </c>
      <c r="B701" t="n">
        <v>3047</v>
      </c>
      <c r="C701">
        <f>IF(B701='🎯 一鍵查詢'!$C$5,COUNTIF($B$2:B701,'🎯 一鍵查詢'!$C$5),"")</f>
        <v/>
      </c>
    </row>
    <row r="702">
      <c r="A702" t="n">
        <v>30477</v>
      </c>
      <c r="B702" t="n">
        <v>3047</v>
      </c>
      <c r="C702">
        <f>IF(B702='🎯 一鍵查詢'!$C$5,COUNTIF($B$2:B702,'🎯 一鍵查詢'!$C$5),"")</f>
        <v/>
      </c>
    </row>
    <row r="703">
      <c r="A703" t="n">
        <v>30478</v>
      </c>
      <c r="B703" t="n">
        <v>3047</v>
      </c>
      <c r="C703">
        <f>IF(B703='🎯 一鍵查詢'!$C$5,COUNTIF($B$2:B703,'🎯 一鍵查詢'!$C$5),"")</f>
        <v/>
      </c>
    </row>
    <row r="704">
      <c r="A704" t="n">
        <v>30481</v>
      </c>
      <c r="B704" t="n">
        <v>3048</v>
      </c>
      <c r="C704">
        <f>IF(B704='🎯 一鍵查詢'!$C$5,COUNTIF($B$2:B704,'🎯 一鍵查詢'!$C$5),"")</f>
        <v/>
      </c>
    </row>
    <row r="705">
      <c r="A705" t="n">
        <v>30501</v>
      </c>
      <c r="B705" t="n">
        <v>3050</v>
      </c>
      <c r="C705">
        <f>IF(B705='🎯 一鍵查詢'!$C$5,COUNTIF($B$2:B705,'🎯 一鍵查詢'!$C$5),"")</f>
        <v/>
      </c>
    </row>
    <row r="706">
      <c r="A706" t="n">
        <v>30511</v>
      </c>
      <c r="B706" t="n">
        <v>3051</v>
      </c>
      <c r="C706">
        <f>IF(B706='🎯 一鍵查詢'!$C$5,COUNTIF($B$2:B706,'🎯 一鍵查詢'!$C$5),"")</f>
        <v/>
      </c>
    </row>
    <row r="707">
      <c r="A707" t="n">
        <v>30512</v>
      </c>
      <c r="B707" t="n">
        <v>3051</v>
      </c>
      <c r="C707">
        <f>IF(B707='🎯 一鍵查詢'!$C$5,COUNTIF($B$2:B707,'🎯 一鍵查詢'!$C$5),"")</f>
        <v/>
      </c>
    </row>
    <row r="708">
      <c r="A708" t="n">
        <v>30541</v>
      </c>
      <c r="B708" t="n">
        <v>3054</v>
      </c>
      <c r="C708">
        <f>IF(B708='🎯 一鍵查詢'!$C$5,COUNTIF($B$2:B708,'🎯 一鍵查詢'!$C$5),"")</f>
        <v/>
      </c>
    </row>
    <row r="709">
      <c r="A709" t="n">
        <v>30542</v>
      </c>
      <c r="B709" t="n">
        <v>3054</v>
      </c>
      <c r="C709">
        <f>IF(B709='🎯 一鍵查詢'!$C$5,COUNTIF($B$2:B709,'🎯 一鍵查詢'!$C$5),"")</f>
        <v/>
      </c>
    </row>
    <row r="710">
      <c r="A710" t="n">
        <v>30543</v>
      </c>
      <c r="B710" t="n">
        <v>3054</v>
      </c>
      <c r="C710">
        <f>IF(B710='🎯 一鍵查詢'!$C$5,COUNTIF($B$2:B710,'🎯 一鍵查詢'!$C$5),"")</f>
        <v/>
      </c>
    </row>
    <row r="711">
      <c r="A711" t="n">
        <v>30551</v>
      </c>
      <c r="B711" t="n">
        <v>3055</v>
      </c>
      <c r="C711">
        <f>IF(B711='🎯 一鍵查詢'!$C$5,COUNTIF($B$2:B711,'🎯 一鍵查詢'!$C$5),"")</f>
        <v/>
      </c>
    </row>
    <row r="712">
      <c r="A712" t="n">
        <v>30561</v>
      </c>
      <c r="B712" t="n">
        <v>3056</v>
      </c>
      <c r="C712">
        <f>IF(B712='🎯 一鍵查詢'!$C$5,COUNTIF($B$2:B712,'🎯 一鍵查詢'!$C$5),"")</f>
        <v/>
      </c>
    </row>
    <row r="713">
      <c r="A713" t="n">
        <v>30562</v>
      </c>
      <c r="B713" t="n">
        <v>3056</v>
      </c>
      <c r="C713">
        <f>IF(B713='🎯 一鍵查詢'!$C$5,COUNTIF($B$2:B713,'🎯 一鍵查詢'!$C$5),"")</f>
        <v/>
      </c>
    </row>
    <row r="714">
      <c r="A714" t="n">
        <v>30571</v>
      </c>
      <c r="B714" t="n">
        <v>3057</v>
      </c>
      <c r="C714">
        <f>IF(B714='🎯 一鍵查詢'!$C$5,COUNTIF($B$2:B714,'🎯 一鍵查詢'!$C$5),"")</f>
        <v/>
      </c>
    </row>
    <row r="715">
      <c r="A715" t="n">
        <v>30581</v>
      </c>
      <c r="B715" t="n">
        <v>3058</v>
      </c>
      <c r="C715">
        <f>IF(B715='🎯 一鍵查詢'!$C$5,COUNTIF($B$2:B715,'🎯 一鍵查詢'!$C$5),"")</f>
        <v/>
      </c>
    </row>
    <row r="716">
      <c r="A716" t="n">
        <v>30591</v>
      </c>
      <c r="B716" t="n">
        <v>3059</v>
      </c>
      <c r="C716">
        <f>IF(B716='🎯 一鍵查詢'!$C$5,COUNTIF($B$2:B716,'🎯 一鍵查詢'!$C$5),"")</f>
        <v/>
      </c>
    </row>
    <row r="717">
      <c r="A717" t="n">
        <v>30601</v>
      </c>
      <c r="B717" t="n">
        <v>3060</v>
      </c>
      <c r="C717">
        <f>IF(B717='🎯 一鍵查詢'!$C$5,COUNTIF($B$2:B717,'🎯 一鍵查詢'!$C$5),"")</f>
        <v/>
      </c>
    </row>
    <row r="718">
      <c r="A718" t="n">
        <v>30602</v>
      </c>
      <c r="B718" t="n">
        <v>3060</v>
      </c>
      <c r="C718">
        <f>IF(B718='🎯 一鍵查詢'!$C$5,COUNTIF($B$2:B718,'🎯 一鍵查詢'!$C$5),"")</f>
        <v/>
      </c>
    </row>
    <row r="719">
      <c r="A719" t="n">
        <v>30603</v>
      </c>
      <c r="B719" t="n">
        <v>3060</v>
      </c>
      <c r="C719">
        <f>IF(B719='🎯 一鍵查詢'!$C$5,COUNTIF($B$2:B719,'🎯 一鍵查詢'!$C$5),"")</f>
        <v/>
      </c>
    </row>
    <row r="720">
      <c r="A720" t="n">
        <v>30611</v>
      </c>
      <c r="B720" t="n">
        <v>3061</v>
      </c>
      <c r="C720">
        <f>IF(B720='🎯 一鍵查詢'!$C$5,COUNTIF($B$2:B720,'🎯 一鍵查詢'!$C$5),"")</f>
        <v/>
      </c>
    </row>
    <row r="721">
      <c r="A721" t="n">
        <v>30612</v>
      </c>
      <c r="B721" t="n">
        <v>3061</v>
      </c>
      <c r="C721">
        <f>IF(B721='🎯 一鍵查詢'!$C$5,COUNTIF($B$2:B721,'🎯 一鍵查詢'!$C$5),"")</f>
        <v/>
      </c>
    </row>
    <row r="722">
      <c r="A722" t="n">
        <v>30613</v>
      </c>
      <c r="B722" t="n">
        <v>3061</v>
      </c>
      <c r="C722">
        <f>IF(B722='🎯 一鍵查詢'!$C$5,COUNTIF($B$2:B722,'🎯 一鍵查詢'!$C$5),"")</f>
        <v/>
      </c>
    </row>
    <row r="723">
      <c r="A723" t="n">
        <v>30614</v>
      </c>
      <c r="B723" t="n">
        <v>3061</v>
      </c>
      <c r="C723">
        <f>IF(B723='🎯 一鍵查詢'!$C$5,COUNTIF($B$2:B723,'🎯 一鍵查詢'!$C$5),"")</f>
        <v/>
      </c>
    </row>
    <row r="724">
      <c r="A724" t="n">
        <v>30661</v>
      </c>
      <c r="B724" t="n">
        <v>3066</v>
      </c>
      <c r="C724">
        <f>IF(B724='🎯 一鍵查詢'!$C$5,COUNTIF($B$2:B724,'🎯 一鍵查詢'!$C$5),"")</f>
        <v/>
      </c>
    </row>
    <row r="725">
      <c r="A725" t="n">
        <v>30681</v>
      </c>
      <c r="B725" t="n">
        <v>3068</v>
      </c>
      <c r="C725">
        <f>IF(B725='🎯 一鍵查詢'!$C$5,COUNTIF($B$2:B725,'🎯 一鍵查詢'!$C$5),"")</f>
        <v/>
      </c>
    </row>
    <row r="726">
      <c r="A726" t="n">
        <v>30711</v>
      </c>
      <c r="B726" t="n">
        <v>3071</v>
      </c>
      <c r="C726">
        <f>IF(B726='🎯 一鍵查詢'!$C$5,COUNTIF($B$2:B726,'🎯 一鍵查詢'!$C$5),"")</f>
        <v/>
      </c>
    </row>
    <row r="727">
      <c r="A727" t="n">
        <v>30731</v>
      </c>
      <c r="B727" t="n">
        <v>3073</v>
      </c>
      <c r="C727">
        <f>IF(B727='🎯 一鍵查詢'!$C$5,COUNTIF($B$2:B727,'🎯 一鍵查詢'!$C$5),"")</f>
        <v/>
      </c>
    </row>
    <row r="728">
      <c r="A728" t="n">
        <v>30732</v>
      </c>
      <c r="B728" t="n">
        <v>3073</v>
      </c>
      <c r="C728">
        <f>IF(B728='🎯 一鍵查詢'!$C$5,COUNTIF($B$2:B728,'🎯 一鍵查詢'!$C$5),"")</f>
        <v/>
      </c>
    </row>
    <row r="729">
      <c r="A729" t="n">
        <v>30733</v>
      </c>
      <c r="B729" t="n">
        <v>3073</v>
      </c>
      <c r="C729">
        <f>IF(B729='🎯 一鍵查詢'!$C$5,COUNTIF($B$2:B729,'🎯 一鍵查詢'!$C$5),"")</f>
        <v/>
      </c>
    </row>
    <row r="730">
      <c r="A730" t="n">
        <v>30791</v>
      </c>
      <c r="B730" t="n">
        <v>3079</v>
      </c>
      <c r="C730">
        <f>IF(B730='🎯 一鍵查詢'!$C$5,COUNTIF($B$2:B730,'🎯 一鍵查詢'!$C$5),"")</f>
        <v/>
      </c>
    </row>
    <row r="731">
      <c r="A731" t="n">
        <v>30851</v>
      </c>
      <c r="B731" t="n">
        <v>3085</v>
      </c>
      <c r="C731">
        <f>IF(B731='🎯 一鍵查詢'!$C$5,COUNTIF($B$2:B731,'🎯 一鍵查詢'!$C$5),"")</f>
        <v/>
      </c>
    </row>
    <row r="732">
      <c r="A732" t="n">
        <v>30861</v>
      </c>
      <c r="B732" t="n">
        <v>3086</v>
      </c>
      <c r="C732">
        <f>IF(B732='🎯 一鍵查詢'!$C$5,COUNTIF($B$2:B732,'🎯 一鍵查詢'!$C$5),"")</f>
        <v/>
      </c>
    </row>
    <row r="733">
      <c r="A733" t="n">
        <v>30881</v>
      </c>
      <c r="B733" t="n">
        <v>3088</v>
      </c>
      <c r="C733">
        <f>IF(B733='🎯 一鍵查詢'!$C$5,COUNTIF($B$2:B733,'🎯 一鍵查詢'!$C$5),"")</f>
        <v/>
      </c>
    </row>
    <row r="734">
      <c r="A734" t="n">
        <v>30882</v>
      </c>
      <c r="B734" t="n">
        <v>3088</v>
      </c>
      <c r="C734">
        <f>IF(B734='🎯 一鍵查詢'!$C$5,COUNTIF($B$2:B734,'🎯 一鍵查詢'!$C$5),"")</f>
        <v/>
      </c>
    </row>
    <row r="735">
      <c r="A735" t="n">
        <v>30891</v>
      </c>
      <c r="B735" t="n">
        <v>3089</v>
      </c>
      <c r="C735">
        <f>IF(B735='🎯 一鍵查詢'!$C$5,COUNTIF($B$2:B735,'🎯 一鍵查詢'!$C$5),"")</f>
        <v/>
      </c>
    </row>
    <row r="736">
      <c r="A736" t="n">
        <v>30892</v>
      </c>
      <c r="B736" t="n">
        <v>3089</v>
      </c>
      <c r="C736">
        <f>IF(B736='🎯 一鍵查詢'!$C$5,COUNTIF($B$2:B736,'🎯 一鍵查詢'!$C$5),"")</f>
        <v/>
      </c>
    </row>
    <row r="737">
      <c r="A737" t="n">
        <v>30901</v>
      </c>
      <c r="B737" t="n">
        <v>3090</v>
      </c>
      <c r="C737">
        <f>IF(B737='🎯 一鍵查詢'!$C$5,COUNTIF($B$2:B737,'🎯 一鍵查詢'!$C$5),"")</f>
        <v/>
      </c>
    </row>
    <row r="738">
      <c r="A738" t="n">
        <v>30921</v>
      </c>
      <c r="B738" t="n">
        <v>3092</v>
      </c>
      <c r="C738">
        <f>IF(B738='🎯 一鍵查詢'!$C$5,COUNTIF($B$2:B738,'🎯 一鍵查詢'!$C$5),"")</f>
        <v/>
      </c>
    </row>
    <row r="739">
      <c r="A739" t="n">
        <v>30922</v>
      </c>
      <c r="B739" t="n">
        <v>3092</v>
      </c>
      <c r="C739">
        <f>IF(B739='🎯 一鍵查詢'!$C$5,COUNTIF($B$2:B739,'🎯 一鍵查詢'!$C$5),"")</f>
        <v/>
      </c>
    </row>
    <row r="740">
      <c r="A740" t="n">
        <v>30951</v>
      </c>
      <c r="B740" t="n">
        <v>3095</v>
      </c>
      <c r="C740">
        <f>IF(B740='🎯 一鍵查詢'!$C$5,COUNTIF($B$2:B740,'🎯 一鍵查詢'!$C$5),"")</f>
        <v/>
      </c>
    </row>
    <row r="741">
      <c r="A741" t="n">
        <v>30952</v>
      </c>
      <c r="B741" t="n">
        <v>3095</v>
      </c>
      <c r="C741">
        <f>IF(B741='🎯 一鍵查詢'!$C$5,COUNTIF($B$2:B741,'🎯 一鍵查詢'!$C$5),"")</f>
        <v/>
      </c>
    </row>
    <row r="742">
      <c r="A742" t="n">
        <v>30953</v>
      </c>
      <c r="B742" t="n">
        <v>3095</v>
      </c>
      <c r="C742">
        <f>IF(B742='🎯 一鍵查詢'!$C$5,COUNTIF($B$2:B742,'🎯 一鍵查詢'!$C$5),"")</f>
        <v/>
      </c>
    </row>
    <row r="743">
      <c r="A743" t="n">
        <v>30954</v>
      </c>
      <c r="B743" t="n">
        <v>3095</v>
      </c>
      <c r="C743">
        <f>IF(B743='🎯 一鍵查詢'!$C$5,COUNTIF($B$2:B743,'🎯 一鍵查詢'!$C$5),"")</f>
        <v/>
      </c>
    </row>
    <row r="744">
      <c r="A744" t="n">
        <v>30991</v>
      </c>
      <c r="B744" t="n">
        <v>3099</v>
      </c>
      <c r="C744">
        <f>IF(B744='🎯 一鍵查詢'!$C$5,COUNTIF($B$2:B744,'🎯 一鍵查詢'!$C$5),"")</f>
        <v/>
      </c>
    </row>
    <row r="745">
      <c r="A745" t="n">
        <v>30992</v>
      </c>
      <c r="B745" t="n">
        <v>3099</v>
      </c>
      <c r="C745">
        <f>IF(B745='🎯 一鍵查詢'!$C$5,COUNTIF($B$2:B745,'🎯 一鍵查詢'!$C$5),"")</f>
        <v/>
      </c>
    </row>
    <row r="746">
      <c r="A746" t="n">
        <v>31221</v>
      </c>
      <c r="B746" t="n">
        <v>3122</v>
      </c>
      <c r="C746">
        <f>IF(B746='🎯 一鍵查詢'!$C$5,COUNTIF($B$2:B746,'🎯 一鍵查詢'!$C$5),"")</f>
        <v/>
      </c>
    </row>
    <row r="747">
      <c r="A747" t="n">
        <v>31222</v>
      </c>
      <c r="B747" t="n">
        <v>3122</v>
      </c>
      <c r="C747">
        <f>IF(B747='🎯 一鍵查詢'!$C$5,COUNTIF($B$2:B747,'🎯 一鍵查詢'!$C$5),"")</f>
        <v/>
      </c>
    </row>
    <row r="748">
      <c r="A748" t="n">
        <v>31261</v>
      </c>
      <c r="B748" t="n">
        <v>3126</v>
      </c>
      <c r="C748">
        <f>IF(B748='🎯 一鍵查詢'!$C$5,COUNTIF($B$2:B748,'🎯 一鍵查詢'!$C$5),"")</f>
        <v/>
      </c>
    </row>
    <row r="749">
      <c r="A749" t="n">
        <v>31281</v>
      </c>
      <c r="B749" t="n">
        <v>3128</v>
      </c>
      <c r="C749">
        <f>IF(B749='🎯 一鍵查詢'!$C$5,COUNTIF($B$2:B749,'🎯 一鍵查詢'!$C$5),"")</f>
        <v/>
      </c>
    </row>
    <row r="750">
      <c r="A750" t="n">
        <v>31282</v>
      </c>
      <c r="B750" t="n">
        <v>3128</v>
      </c>
      <c r="C750">
        <f>IF(B750='🎯 一鍵查詢'!$C$5,COUNTIF($B$2:B750,'🎯 一鍵查詢'!$C$5),"")</f>
        <v/>
      </c>
    </row>
    <row r="751">
      <c r="A751" t="n">
        <v>31311</v>
      </c>
      <c r="B751" t="n">
        <v>3131</v>
      </c>
      <c r="C751">
        <f>IF(B751='🎯 一鍵查詢'!$C$5,COUNTIF($B$2:B751,'🎯 一鍵查詢'!$C$5),"")</f>
        <v/>
      </c>
    </row>
    <row r="752">
      <c r="A752" t="n">
        <v>31312</v>
      </c>
      <c r="B752" t="n">
        <v>3131</v>
      </c>
      <c r="C752">
        <f>IF(B752='🎯 一鍵查詢'!$C$5,COUNTIF($B$2:B752,'🎯 一鍵查詢'!$C$5),"")</f>
        <v/>
      </c>
    </row>
    <row r="753">
      <c r="A753" t="n">
        <v>31351</v>
      </c>
      <c r="B753" t="n">
        <v>3135</v>
      </c>
      <c r="C753">
        <f>IF(B753='🎯 一鍵查詢'!$C$5,COUNTIF($B$2:B753,'🎯 一鍵查詢'!$C$5),"")</f>
        <v/>
      </c>
    </row>
    <row r="754">
      <c r="A754" t="n">
        <v>31381</v>
      </c>
      <c r="B754" t="n">
        <v>3138</v>
      </c>
      <c r="C754">
        <f>IF(B754='🎯 一鍵查詢'!$C$5,COUNTIF($B$2:B754,'🎯 一鍵查詢'!$C$5),"")</f>
        <v/>
      </c>
    </row>
    <row r="755">
      <c r="A755" t="n">
        <v>31382</v>
      </c>
      <c r="B755" t="n">
        <v>3138</v>
      </c>
      <c r="C755">
        <f>IF(B755='🎯 一鍵查詢'!$C$5,COUNTIF($B$2:B755,'🎯 一鍵查詢'!$C$5),"")</f>
        <v/>
      </c>
    </row>
    <row r="756">
      <c r="A756" t="n">
        <v>31411</v>
      </c>
      <c r="B756" t="n">
        <v>3141</v>
      </c>
      <c r="C756">
        <f>IF(B756='🎯 一鍵查詢'!$C$5,COUNTIF($B$2:B756,'🎯 一鍵查詢'!$C$5),"")</f>
        <v/>
      </c>
    </row>
    <row r="757">
      <c r="A757" t="n">
        <v>31412</v>
      </c>
      <c r="B757" t="n">
        <v>3141</v>
      </c>
      <c r="C757">
        <f>IF(B757='🎯 一鍵查詢'!$C$5,COUNTIF($B$2:B757,'🎯 一鍵查詢'!$C$5),"")</f>
        <v/>
      </c>
    </row>
    <row r="758">
      <c r="A758" t="n">
        <v>31413</v>
      </c>
      <c r="B758" t="n">
        <v>3141</v>
      </c>
      <c r="C758">
        <f>IF(B758='🎯 一鍵查詢'!$C$5,COUNTIF($B$2:B758,'🎯 一鍵查詢'!$C$5),"")</f>
        <v/>
      </c>
    </row>
    <row r="759">
      <c r="A759" t="n">
        <v>31421</v>
      </c>
      <c r="B759" t="n">
        <v>3142</v>
      </c>
      <c r="C759">
        <f>IF(B759='🎯 一鍵查詢'!$C$5,COUNTIF($B$2:B759,'🎯 一鍵查詢'!$C$5),"")</f>
        <v/>
      </c>
    </row>
    <row r="760">
      <c r="A760" t="n">
        <v>31441</v>
      </c>
      <c r="B760" t="n">
        <v>3144</v>
      </c>
      <c r="C760">
        <f>IF(B760='🎯 一鍵查詢'!$C$5,COUNTIF($B$2:B760,'🎯 一鍵查詢'!$C$5),"")</f>
        <v/>
      </c>
    </row>
    <row r="761">
      <c r="A761" t="n">
        <v>31442</v>
      </c>
      <c r="B761" t="n">
        <v>3144</v>
      </c>
      <c r="C761">
        <f>IF(B761='🎯 一鍵查詢'!$C$5,COUNTIF($B$2:B761,'🎯 一鍵查詢'!$C$5),"")</f>
        <v/>
      </c>
    </row>
    <row r="762">
      <c r="A762" t="n">
        <v>31491</v>
      </c>
      <c r="B762" t="n">
        <v>3149</v>
      </c>
      <c r="C762">
        <f>IF(B762='🎯 一鍵查詢'!$C$5,COUNTIF($B$2:B762,'🎯 一鍵查詢'!$C$5),"")</f>
        <v/>
      </c>
    </row>
    <row r="763">
      <c r="A763" t="n">
        <v>31492</v>
      </c>
      <c r="B763" t="n">
        <v>3149</v>
      </c>
      <c r="C763">
        <f>IF(B763='🎯 一鍵查詢'!$C$5,COUNTIF($B$2:B763,'🎯 一鍵查詢'!$C$5),"")</f>
        <v/>
      </c>
    </row>
    <row r="764">
      <c r="A764" t="n">
        <v>31493</v>
      </c>
      <c r="B764" t="n">
        <v>3149</v>
      </c>
      <c r="C764">
        <f>IF(B764='🎯 一鍵查詢'!$C$5,COUNTIF($B$2:B764,'🎯 一鍵查詢'!$C$5),"")</f>
        <v/>
      </c>
    </row>
    <row r="765">
      <c r="A765" t="n">
        <v>31621</v>
      </c>
      <c r="B765" t="n">
        <v>3162</v>
      </c>
      <c r="C765">
        <f>IF(B765='🎯 一鍵查詢'!$C$5,COUNTIF($B$2:B765,'🎯 一鍵查詢'!$C$5),"")</f>
        <v/>
      </c>
    </row>
    <row r="766">
      <c r="A766" t="n">
        <v>31622</v>
      </c>
      <c r="B766" t="n">
        <v>3162</v>
      </c>
      <c r="C766">
        <f>IF(B766='🎯 一鍵查詢'!$C$5,COUNTIF($B$2:B766,'🎯 一鍵查詢'!$C$5),"")</f>
        <v/>
      </c>
    </row>
    <row r="767">
      <c r="A767" t="n">
        <v>31631</v>
      </c>
      <c r="B767" t="n">
        <v>3163</v>
      </c>
      <c r="C767">
        <f>IF(B767='🎯 一鍵查詢'!$C$5,COUNTIF($B$2:B767,'🎯 一鍵查詢'!$C$5),"")</f>
        <v/>
      </c>
    </row>
    <row r="768">
      <c r="A768" t="n">
        <v>31632</v>
      </c>
      <c r="B768" t="n">
        <v>3163</v>
      </c>
      <c r="C768">
        <f>IF(B768='🎯 一鍵查詢'!$C$5,COUNTIF($B$2:B768,'🎯 一鍵查詢'!$C$5),"")</f>
        <v/>
      </c>
    </row>
    <row r="769">
      <c r="A769" t="n">
        <v>31641</v>
      </c>
      <c r="B769" t="n">
        <v>3164</v>
      </c>
      <c r="C769">
        <f>IF(B769='🎯 一鍵查詢'!$C$5,COUNTIF($B$2:B769,'🎯 一鍵查詢'!$C$5),"")</f>
        <v/>
      </c>
    </row>
    <row r="770">
      <c r="A770" t="n">
        <v>31642</v>
      </c>
      <c r="B770" t="n">
        <v>3164</v>
      </c>
      <c r="C770">
        <f>IF(B770='🎯 一鍵查詢'!$C$5,COUNTIF($B$2:B770,'🎯 一鍵查詢'!$C$5),"")</f>
        <v/>
      </c>
    </row>
    <row r="771">
      <c r="A771" t="n">
        <v>31671</v>
      </c>
      <c r="B771" t="n">
        <v>3167</v>
      </c>
      <c r="C771">
        <f>IF(B771='🎯 一鍵查詢'!$C$5,COUNTIF($B$2:B771,'🎯 一鍵查詢'!$C$5),"")</f>
        <v/>
      </c>
    </row>
    <row r="772">
      <c r="A772" t="n">
        <v>31672</v>
      </c>
      <c r="B772" t="n">
        <v>3167</v>
      </c>
      <c r="C772">
        <f>IF(B772='🎯 一鍵查詢'!$C$5,COUNTIF($B$2:B772,'🎯 一鍵查詢'!$C$5),"")</f>
        <v/>
      </c>
    </row>
    <row r="773">
      <c r="A773" t="n">
        <v>31711</v>
      </c>
      <c r="B773" t="n">
        <v>3171</v>
      </c>
      <c r="C773">
        <f>IF(B773='🎯 一鍵查詢'!$C$5,COUNTIF($B$2:B773,'🎯 一鍵查詢'!$C$5),"")</f>
        <v/>
      </c>
    </row>
    <row r="774">
      <c r="A774" t="n">
        <v>31712</v>
      </c>
      <c r="B774" t="n">
        <v>3171</v>
      </c>
      <c r="C774">
        <f>IF(B774='🎯 一鍵查詢'!$C$5,COUNTIF($B$2:B774,'🎯 一鍵查詢'!$C$5),"")</f>
        <v/>
      </c>
    </row>
    <row r="775">
      <c r="A775" t="n">
        <v>31881</v>
      </c>
      <c r="B775" t="n">
        <v>3188</v>
      </c>
      <c r="C775">
        <f>IF(B775='🎯 一鍵查詢'!$C$5,COUNTIF($B$2:B775,'🎯 一鍵查詢'!$C$5),"")</f>
        <v/>
      </c>
    </row>
    <row r="776">
      <c r="A776" t="n">
        <v>31882</v>
      </c>
      <c r="B776" t="n">
        <v>3188</v>
      </c>
      <c r="C776">
        <f>IF(B776='🎯 一鍵查詢'!$C$5,COUNTIF($B$2:B776,'🎯 一鍵查詢'!$C$5),"")</f>
        <v/>
      </c>
    </row>
    <row r="777">
      <c r="A777" t="n">
        <v>32021</v>
      </c>
      <c r="B777" t="n">
        <v>3202</v>
      </c>
      <c r="C777">
        <f>IF(B777='🎯 一鍵查詢'!$C$5,COUNTIF($B$2:B777,'🎯 一鍵查詢'!$C$5),"")</f>
        <v/>
      </c>
    </row>
    <row r="778">
      <c r="A778" t="n">
        <v>32022</v>
      </c>
      <c r="B778" t="n">
        <v>3202</v>
      </c>
      <c r="C778">
        <f>IF(B778='🎯 一鍵查詢'!$C$5,COUNTIF($B$2:B778,'🎯 一鍵查詢'!$C$5),"")</f>
        <v/>
      </c>
    </row>
    <row r="779">
      <c r="A779" t="n">
        <v>32023</v>
      </c>
      <c r="B779" t="n">
        <v>3202</v>
      </c>
      <c r="C779">
        <f>IF(B779='🎯 一鍵查詢'!$C$5,COUNTIF($B$2:B779,'🎯 一鍵查詢'!$C$5),"")</f>
        <v/>
      </c>
    </row>
    <row r="780">
      <c r="A780" t="n">
        <v>32024</v>
      </c>
      <c r="B780" t="n">
        <v>3202</v>
      </c>
      <c r="C780">
        <f>IF(B780='🎯 一鍵查詢'!$C$5,COUNTIF($B$2:B780,'🎯 一鍵查詢'!$C$5),"")</f>
        <v/>
      </c>
    </row>
    <row r="781">
      <c r="A781" t="n">
        <v>32051</v>
      </c>
      <c r="B781" t="n">
        <v>3205</v>
      </c>
      <c r="C781">
        <f>IF(B781='🎯 一鍵查詢'!$C$5,COUNTIF($B$2:B781,'🎯 一鍵查詢'!$C$5),"")</f>
        <v/>
      </c>
    </row>
    <row r="782">
      <c r="A782" t="n">
        <v>32052</v>
      </c>
      <c r="B782" t="n">
        <v>3205</v>
      </c>
      <c r="C782">
        <f>IF(B782='🎯 一鍵查詢'!$C$5,COUNTIF($B$2:B782,'🎯 一鍵查詢'!$C$5),"")</f>
        <v/>
      </c>
    </row>
    <row r="783">
      <c r="A783" t="n">
        <v>32071</v>
      </c>
      <c r="B783" t="n">
        <v>3207</v>
      </c>
      <c r="C783">
        <f>IF(B783='🎯 一鍵查詢'!$C$5,COUNTIF($B$2:B783,'🎯 一鍵查詢'!$C$5),"")</f>
        <v/>
      </c>
    </row>
    <row r="784">
      <c r="A784" t="n">
        <v>32091</v>
      </c>
      <c r="B784" t="n">
        <v>3209</v>
      </c>
      <c r="C784">
        <f>IF(B784='🎯 一鍵查詢'!$C$5,COUNTIF($B$2:B784,'🎯 一鍵查詢'!$C$5),"")</f>
        <v/>
      </c>
    </row>
    <row r="785">
      <c r="A785" t="n">
        <v>32092</v>
      </c>
      <c r="B785" t="n">
        <v>3209</v>
      </c>
      <c r="C785">
        <f>IF(B785='🎯 一鍵查詢'!$C$5,COUNTIF($B$2:B785,'🎯 一鍵查詢'!$C$5),"")</f>
        <v/>
      </c>
    </row>
    <row r="786">
      <c r="A786" t="n">
        <v>32093</v>
      </c>
      <c r="B786" t="n">
        <v>3209</v>
      </c>
      <c r="C786">
        <f>IF(B786='🎯 一鍵查詢'!$C$5,COUNTIF($B$2:B786,'🎯 一鍵查詢'!$C$5),"")</f>
        <v/>
      </c>
    </row>
    <row r="787">
      <c r="A787" t="n">
        <v>32094</v>
      </c>
      <c r="B787" t="n">
        <v>3209</v>
      </c>
      <c r="C787">
        <f>IF(B787='🎯 一鍵查詢'!$C$5,COUNTIF($B$2:B787,'🎯 一鍵查詢'!$C$5),"")</f>
        <v/>
      </c>
    </row>
    <row r="788">
      <c r="A788" t="n">
        <v>32111</v>
      </c>
      <c r="B788" t="n">
        <v>3211</v>
      </c>
      <c r="C788">
        <f>IF(B788='🎯 一鍵查詢'!$C$5,COUNTIF($B$2:B788,'🎯 一鍵查詢'!$C$5),"")</f>
        <v/>
      </c>
    </row>
    <row r="789">
      <c r="A789" t="n">
        <v>32141</v>
      </c>
      <c r="B789" t="n">
        <v>3214</v>
      </c>
      <c r="C789">
        <f>IF(B789='🎯 一鍵查詢'!$C$5,COUNTIF($B$2:B789,'🎯 一鍵查詢'!$C$5),"")</f>
        <v/>
      </c>
    </row>
    <row r="790">
      <c r="A790" t="n">
        <v>32171</v>
      </c>
      <c r="B790" t="n">
        <v>3217</v>
      </c>
      <c r="C790">
        <f>IF(B790='🎯 一鍵查詢'!$C$5,COUNTIF($B$2:B790,'🎯 一鍵查詢'!$C$5),"")</f>
        <v/>
      </c>
    </row>
    <row r="791">
      <c r="A791" t="n">
        <v>32181</v>
      </c>
      <c r="B791" t="n">
        <v>3218</v>
      </c>
      <c r="C791">
        <f>IF(B791='🎯 一鍵查詢'!$C$5,COUNTIF($B$2:B791,'🎯 一鍵查詢'!$C$5),"")</f>
        <v/>
      </c>
    </row>
    <row r="792">
      <c r="A792" t="n">
        <v>32241</v>
      </c>
      <c r="B792" t="n">
        <v>3224</v>
      </c>
      <c r="C792">
        <f>IF(B792='🎯 一鍵查詢'!$C$5,COUNTIF($B$2:B792,'🎯 一鍵查詢'!$C$5),"")</f>
        <v/>
      </c>
    </row>
    <row r="793">
      <c r="A793" t="n">
        <v>32242</v>
      </c>
      <c r="B793" t="n">
        <v>3224</v>
      </c>
      <c r="C793">
        <f>IF(B793='🎯 一鍵查詢'!$C$5,COUNTIF($B$2:B793,'🎯 一鍵查詢'!$C$5),"")</f>
        <v/>
      </c>
    </row>
    <row r="794">
      <c r="A794" t="n">
        <v>32243</v>
      </c>
      <c r="B794" t="n">
        <v>3224</v>
      </c>
      <c r="C794">
        <f>IF(B794='🎯 一鍵查詢'!$C$5,COUNTIF($B$2:B794,'🎯 一鍵查詢'!$C$5),"")</f>
        <v/>
      </c>
    </row>
    <row r="795">
      <c r="A795" t="n">
        <v>32291</v>
      </c>
      <c r="B795" t="n">
        <v>3229</v>
      </c>
      <c r="C795">
        <f>IF(B795='🎯 一鍵查詢'!$C$5,COUNTIF($B$2:B795,'🎯 一鍵查詢'!$C$5),"")</f>
        <v/>
      </c>
    </row>
    <row r="796">
      <c r="A796" t="n">
        <v>32301</v>
      </c>
      <c r="B796" t="n">
        <v>3230</v>
      </c>
      <c r="C796">
        <f>IF(B796='🎯 一鍵查詢'!$C$5,COUNTIF($B$2:B796,'🎯 一鍵查詢'!$C$5),"")</f>
        <v/>
      </c>
    </row>
    <row r="797">
      <c r="A797" t="n">
        <v>32302</v>
      </c>
      <c r="B797" t="n">
        <v>3230</v>
      </c>
      <c r="C797">
        <f>IF(B797='🎯 一鍵查詢'!$C$5,COUNTIF($B$2:B797,'🎯 一鍵查詢'!$C$5),"")</f>
        <v/>
      </c>
    </row>
    <row r="798">
      <c r="A798" t="n">
        <v>32341</v>
      </c>
      <c r="B798" t="n">
        <v>3234</v>
      </c>
      <c r="C798">
        <f>IF(B798='🎯 一鍵查詢'!$C$5,COUNTIF($B$2:B798,'🎯 一鍵查詢'!$C$5),"")</f>
        <v/>
      </c>
    </row>
    <row r="799">
      <c r="A799" t="n">
        <v>32342</v>
      </c>
      <c r="B799" t="n">
        <v>3234</v>
      </c>
      <c r="C799">
        <f>IF(B799='🎯 一鍵查詢'!$C$5,COUNTIF($B$2:B799,'🎯 一鍵查詢'!$C$5),"")</f>
        <v/>
      </c>
    </row>
    <row r="800">
      <c r="A800" t="n">
        <v>32361</v>
      </c>
      <c r="B800" t="n">
        <v>3236</v>
      </c>
      <c r="C800">
        <f>IF(B800='🎯 一鍵查詢'!$C$5,COUNTIF($B$2:B800,'🎯 一鍵查詢'!$C$5),"")</f>
        <v/>
      </c>
    </row>
    <row r="801">
      <c r="A801" t="n">
        <v>32521</v>
      </c>
      <c r="B801" t="n">
        <v>3252</v>
      </c>
      <c r="C801">
        <f>IF(B801='🎯 一鍵查詢'!$C$5,COUNTIF($B$2:B801,'🎯 一鍵查詢'!$C$5),"")</f>
        <v/>
      </c>
    </row>
    <row r="802">
      <c r="A802" t="n">
        <v>32522</v>
      </c>
      <c r="B802" t="n">
        <v>3252</v>
      </c>
      <c r="C802">
        <f>IF(B802='🎯 一鍵查詢'!$C$5,COUNTIF($B$2:B802,'🎯 一鍵查詢'!$C$5),"")</f>
        <v/>
      </c>
    </row>
    <row r="803">
      <c r="A803" t="n">
        <v>32523</v>
      </c>
      <c r="B803" t="n">
        <v>3252</v>
      </c>
      <c r="C803">
        <f>IF(B803='🎯 一鍵查詢'!$C$5,COUNTIF($B$2:B803,'🎯 一鍵查詢'!$C$5),"")</f>
        <v/>
      </c>
    </row>
    <row r="804">
      <c r="A804" t="n">
        <v>32571</v>
      </c>
      <c r="B804" t="n">
        <v>3257</v>
      </c>
      <c r="C804">
        <f>IF(B804='🎯 一鍵查詢'!$C$5,COUNTIF($B$2:B804,'🎯 一鍵查詢'!$C$5),"")</f>
        <v/>
      </c>
    </row>
    <row r="805">
      <c r="A805" t="n">
        <v>32601</v>
      </c>
      <c r="B805" t="n">
        <v>3260</v>
      </c>
      <c r="C805">
        <f>IF(B805='🎯 一鍵查詢'!$C$5,COUNTIF($B$2:B805,'🎯 一鍵查詢'!$C$5),"")</f>
        <v/>
      </c>
    </row>
    <row r="806">
      <c r="A806" t="n">
        <v>32602</v>
      </c>
      <c r="B806" t="n">
        <v>3260</v>
      </c>
      <c r="C806">
        <f>IF(B806='🎯 一鍵查詢'!$C$5,COUNTIF($B$2:B806,'🎯 一鍵查詢'!$C$5),"")</f>
        <v/>
      </c>
    </row>
    <row r="807">
      <c r="A807" t="n">
        <v>32603</v>
      </c>
      <c r="B807" t="n">
        <v>3260</v>
      </c>
      <c r="C807">
        <f>IF(B807='🎯 一鍵查詢'!$C$5,COUNTIF($B$2:B807,'🎯 一鍵查詢'!$C$5),"")</f>
        <v/>
      </c>
    </row>
    <row r="808">
      <c r="A808" t="n">
        <v>32604</v>
      </c>
      <c r="B808" t="n">
        <v>3260</v>
      </c>
      <c r="C808">
        <f>IF(B808='🎯 一鍵查詢'!$C$5,COUNTIF($B$2:B808,'🎯 一鍵查詢'!$C$5),"")</f>
        <v/>
      </c>
    </row>
    <row r="809">
      <c r="A809" t="n">
        <v>32605</v>
      </c>
      <c r="B809" t="n">
        <v>3260</v>
      </c>
      <c r="C809">
        <f>IF(B809='🎯 一鍵查詢'!$C$5,COUNTIF($B$2:B809,'🎯 一鍵查詢'!$C$5),"")</f>
        <v/>
      </c>
    </row>
    <row r="810">
      <c r="A810" t="n">
        <v>32606</v>
      </c>
      <c r="B810" t="n">
        <v>3260</v>
      </c>
      <c r="C810">
        <f>IF(B810='🎯 一鍵查詢'!$C$5,COUNTIF($B$2:B810,'🎯 一鍵查詢'!$C$5),"")</f>
        <v/>
      </c>
    </row>
    <row r="811">
      <c r="A811" t="n">
        <v>32607</v>
      </c>
      <c r="B811" t="n">
        <v>3260</v>
      </c>
      <c r="C811">
        <f>IF(B811='🎯 一鍵查詢'!$C$5,COUNTIF($B$2:B811,'🎯 一鍵查詢'!$C$5),"")</f>
        <v/>
      </c>
    </row>
    <row r="812">
      <c r="A812" t="n">
        <v>32608</v>
      </c>
      <c r="B812" t="n">
        <v>3260</v>
      </c>
      <c r="C812">
        <f>IF(B812='🎯 一鍵查詢'!$C$5,COUNTIF($B$2:B812,'🎯 一鍵查詢'!$C$5),"")</f>
        <v/>
      </c>
    </row>
    <row r="813">
      <c r="A813" t="n">
        <v>32641</v>
      </c>
      <c r="B813" t="n">
        <v>3264</v>
      </c>
      <c r="C813">
        <f>IF(B813='🎯 一鍵查詢'!$C$5,COUNTIF($B$2:B813,'🎯 一鍵查詢'!$C$5),"")</f>
        <v/>
      </c>
    </row>
    <row r="814">
      <c r="A814" t="n">
        <v>32681</v>
      </c>
      <c r="B814" t="n">
        <v>3268</v>
      </c>
      <c r="C814">
        <f>IF(B814='🎯 一鍵查詢'!$C$5,COUNTIF($B$2:B814,'🎯 一鍵查詢'!$C$5),"")</f>
        <v/>
      </c>
    </row>
    <row r="815">
      <c r="A815" t="n">
        <v>32711</v>
      </c>
      <c r="B815" t="n">
        <v>3271</v>
      </c>
      <c r="C815">
        <f>IF(B815='🎯 一鍵查詢'!$C$5,COUNTIF($B$2:B815,'🎯 一鍵查詢'!$C$5),"")</f>
        <v/>
      </c>
    </row>
    <row r="816">
      <c r="A816" t="n">
        <v>32712</v>
      </c>
      <c r="B816" t="n">
        <v>3271</v>
      </c>
      <c r="C816">
        <f>IF(B816='🎯 一鍵查詢'!$C$5,COUNTIF($B$2:B816,'🎯 一鍵查詢'!$C$5),"")</f>
        <v/>
      </c>
    </row>
    <row r="817">
      <c r="A817" t="n">
        <v>32721</v>
      </c>
      <c r="B817" t="n">
        <v>3272</v>
      </c>
      <c r="C817">
        <f>IF(B817='🎯 一鍵查詢'!$C$5,COUNTIF($B$2:B817,'🎯 一鍵查詢'!$C$5),"")</f>
        <v/>
      </c>
    </row>
    <row r="818">
      <c r="A818" t="n">
        <v>32722</v>
      </c>
      <c r="B818" t="n">
        <v>3272</v>
      </c>
      <c r="C818">
        <f>IF(B818='🎯 一鍵查詢'!$C$5,COUNTIF($B$2:B818,'🎯 一鍵查詢'!$C$5),"")</f>
        <v/>
      </c>
    </row>
    <row r="819">
      <c r="A819" t="n">
        <v>32723</v>
      </c>
      <c r="B819" t="n">
        <v>3272</v>
      </c>
      <c r="C819">
        <f>IF(B819='🎯 一鍵查詢'!$C$5,COUNTIF($B$2:B819,'🎯 一鍵查詢'!$C$5),"")</f>
        <v/>
      </c>
    </row>
    <row r="820">
      <c r="A820" t="n">
        <v>32841</v>
      </c>
      <c r="B820" t="n">
        <v>3284</v>
      </c>
      <c r="C820">
        <f>IF(B820='🎯 一鍵查詢'!$C$5,COUNTIF($B$2:B820,'🎯 一鍵查詢'!$C$5),"")</f>
        <v/>
      </c>
    </row>
    <row r="821">
      <c r="A821" t="n">
        <v>32842</v>
      </c>
      <c r="B821" t="n">
        <v>3284</v>
      </c>
      <c r="C821">
        <f>IF(B821='🎯 一鍵查詢'!$C$5,COUNTIF($B$2:B821,'🎯 一鍵查詢'!$C$5),"")</f>
        <v/>
      </c>
    </row>
    <row r="822">
      <c r="A822" t="n">
        <v>32843</v>
      </c>
      <c r="B822" t="n">
        <v>3284</v>
      </c>
      <c r="C822">
        <f>IF(B822='🎯 一鍵查詢'!$C$5,COUNTIF($B$2:B822,'🎯 一鍵查詢'!$C$5),"")</f>
        <v/>
      </c>
    </row>
    <row r="823">
      <c r="A823" t="n">
        <v>32881</v>
      </c>
      <c r="B823" t="n">
        <v>3288</v>
      </c>
      <c r="C823">
        <f>IF(B823='🎯 一鍵查詢'!$C$5,COUNTIF($B$2:B823,'🎯 一鍵查詢'!$C$5),"")</f>
        <v/>
      </c>
    </row>
    <row r="824">
      <c r="A824" t="n">
        <v>32891</v>
      </c>
      <c r="B824" t="n">
        <v>3289</v>
      </c>
      <c r="C824">
        <f>IF(B824='🎯 一鍵查詢'!$C$5,COUNTIF($B$2:B824,'🎯 一鍵查詢'!$C$5),"")</f>
        <v/>
      </c>
    </row>
    <row r="825">
      <c r="A825" t="n">
        <v>32892</v>
      </c>
      <c r="B825" t="n">
        <v>3289</v>
      </c>
      <c r="C825">
        <f>IF(B825='🎯 一鍵查詢'!$C$5,COUNTIF($B$2:B825,'🎯 一鍵查詢'!$C$5),"")</f>
        <v/>
      </c>
    </row>
    <row r="826">
      <c r="A826" t="n">
        <v>32893</v>
      </c>
      <c r="B826" t="n">
        <v>3289</v>
      </c>
      <c r="C826">
        <f>IF(B826='🎯 一鍵查詢'!$C$5,COUNTIF($B$2:B826,'🎯 一鍵查詢'!$C$5),"")</f>
        <v/>
      </c>
    </row>
    <row r="827">
      <c r="A827" t="n">
        <v>32894</v>
      </c>
      <c r="B827" t="n">
        <v>3289</v>
      </c>
      <c r="C827">
        <f>IF(B827='🎯 一鍵查詢'!$C$5,COUNTIF($B$2:B827,'🎯 一鍵查詢'!$C$5),"")</f>
        <v/>
      </c>
    </row>
    <row r="828">
      <c r="A828" t="n">
        <v>32895</v>
      </c>
      <c r="B828" t="n">
        <v>3289</v>
      </c>
      <c r="C828">
        <f>IF(B828='🎯 一鍵查詢'!$C$5,COUNTIF($B$2:B828,'🎯 一鍵查詢'!$C$5),"")</f>
        <v/>
      </c>
    </row>
    <row r="829">
      <c r="A829" t="n">
        <v>32901</v>
      </c>
      <c r="B829" t="n">
        <v>3290</v>
      </c>
      <c r="C829">
        <f>IF(B829='🎯 一鍵查詢'!$C$5,COUNTIF($B$2:B829,'🎯 一鍵查詢'!$C$5),"")</f>
        <v/>
      </c>
    </row>
    <row r="830">
      <c r="A830" t="n">
        <v>32902</v>
      </c>
      <c r="B830" t="n">
        <v>3290</v>
      </c>
      <c r="C830">
        <f>IF(B830='🎯 一鍵查詢'!$C$5,COUNTIF($B$2:B830,'🎯 一鍵查詢'!$C$5),"")</f>
        <v/>
      </c>
    </row>
    <row r="831">
      <c r="A831" t="n">
        <v>32903</v>
      </c>
      <c r="B831" t="n">
        <v>3290</v>
      </c>
      <c r="C831">
        <f>IF(B831='🎯 一鍵查詢'!$C$5,COUNTIF($B$2:B831,'🎯 一鍵查詢'!$C$5),"")</f>
        <v/>
      </c>
    </row>
    <row r="832">
      <c r="A832" t="n">
        <v>32941</v>
      </c>
      <c r="B832" t="n">
        <v>3294</v>
      </c>
      <c r="C832">
        <f>IF(B832='🎯 一鍵查詢'!$C$5,COUNTIF($B$2:B832,'🎯 一鍵查詢'!$C$5),"")</f>
        <v/>
      </c>
    </row>
    <row r="833">
      <c r="A833" t="n">
        <v>32942</v>
      </c>
      <c r="B833" t="n">
        <v>3294</v>
      </c>
      <c r="C833">
        <f>IF(B833='🎯 一鍵查詢'!$C$5,COUNTIF($B$2:B833,'🎯 一鍵查詢'!$C$5),"")</f>
        <v/>
      </c>
    </row>
    <row r="834">
      <c r="A834" t="n">
        <v>32961</v>
      </c>
      <c r="B834" t="n">
        <v>3296</v>
      </c>
      <c r="C834">
        <f>IF(B834='🎯 一鍵查詢'!$C$5,COUNTIF($B$2:B834,'🎯 一鍵查詢'!$C$5),"")</f>
        <v/>
      </c>
    </row>
    <row r="835">
      <c r="A835" t="n">
        <v>32991</v>
      </c>
      <c r="B835" t="n">
        <v>3299</v>
      </c>
      <c r="C835">
        <f>IF(B835='🎯 一鍵查詢'!$C$5,COUNTIF($B$2:B835,'🎯 一鍵查詢'!$C$5),"")</f>
        <v/>
      </c>
    </row>
    <row r="836">
      <c r="A836" t="n">
        <v>32992</v>
      </c>
      <c r="B836" t="n">
        <v>3299</v>
      </c>
      <c r="C836">
        <f>IF(B836='🎯 一鍵查詢'!$C$5,COUNTIF($B$2:B836,'🎯 一鍵查詢'!$C$5),"")</f>
        <v/>
      </c>
    </row>
    <row r="837">
      <c r="A837" t="n">
        <v>32993</v>
      </c>
      <c r="B837" t="n">
        <v>3299</v>
      </c>
      <c r="C837">
        <f>IF(B837='🎯 一鍵查詢'!$C$5,COUNTIF($B$2:B837,'🎯 一鍵查詢'!$C$5),"")</f>
        <v/>
      </c>
    </row>
    <row r="838">
      <c r="A838" t="n">
        <v>32994</v>
      </c>
      <c r="B838" t="n">
        <v>3299</v>
      </c>
      <c r="C838">
        <f>IF(B838='🎯 一鍵查詢'!$C$5,COUNTIF($B$2:B838,'🎯 一鍵查詢'!$C$5),"")</f>
        <v/>
      </c>
    </row>
    <row r="839">
      <c r="A839" t="n">
        <v>33031</v>
      </c>
      <c r="B839" t="n">
        <v>3303</v>
      </c>
      <c r="C839">
        <f>IF(B839='🎯 一鍵查詢'!$C$5,COUNTIF($B$2:B839,'🎯 一鍵查詢'!$C$5),"")</f>
        <v/>
      </c>
    </row>
    <row r="840">
      <c r="A840" t="n">
        <v>33032</v>
      </c>
      <c r="B840" t="n">
        <v>3303</v>
      </c>
      <c r="C840">
        <f>IF(B840='🎯 一鍵查詢'!$C$5,COUNTIF($B$2:B840,'🎯 一鍵查詢'!$C$5),"")</f>
        <v/>
      </c>
    </row>
    <row r="841">
      <c r="A841" t="n">
        <v>33033</v>
      </c>
      <c r="B841" t="n">
        <v>3303</v>
      </c>
      <c r="C841">
        <f>IF(B841='🎯 一鍵查詢'!$C$5,COUNTIF($B$2:B841,'🎯 一鍵查詢'!$C$5),"")</f>
        <v/>
      </c>
    </row>
    <row r="842">
      <c r="A842" t="n">
        <v>33034</v>
      </c>
      <c r="B842" t="n">
        <v>3303</v>
      </c>
      <c r="C842">
        <f>IF(B842='🎯 一鍵查詢'!$C$5,COUNTIF($B$2:B842,'🎯 一鍵查詢'!$C$5),"")</f>
        <v/>
      </c>
    </row>
    <row r="843">
      <c r="A843" t="n">
        <v>33035</v>
      </c>
      <c r="B843" t="n">
        <v>3303</v>
      </c>
      <c r="C843">
        <f>IF(B843='🎯 一鍵查詢'!$C$5,COUNTIF($B$2:B843,'🎯 一鍵查詢'!$C$5),"")</f>
        <v/>
      </c>
    </row>
    <row r="844">
      <c r="A844" t="n">
        <v>33051</v>
      </c>
      <c r="B844" t="n">
        <v>3305</v>
      </c>
      <c r="C844">
        <f>IF(B844='🎯 一鍵查詢'!$C$5,COUNTIF($B$2:B844,'🎯 一鍵查詢'!$C$5),"")</f>
        <v/>
      </c>
    </row>
    <row r="845">
      <c r="A845" t="n">
        <v>33052</v>
      </c>
      <c r="B845" t="n">
        <v>3305</v>
      </c>
      <c r="C845">
        <f>IF(B845='🎯 一鍵查詢'!$C$5,COUNTIF($B$2:B845,'🎯 一鍵查詢'!$C$5),"")</f>
        <v/>
      </c>
    </row>
    <row r="846">
      <c r="A846" t="n">
        <v>33053</v>
      </c>
      <c r="B846" t="n">
        <v>3305</v>
      </c>
      <c r="C846">
        <f>IF(B846='🎯 一鍵查詢'!$C$5,COUNTIF($B$2:B846,'🎯 一鍵查詢'!$C$5),"")</f>
        <v/>
      </c>
    </row>
    <row r="847">
      <c r="A847" t="n">
        <v>33054</v>
      </c>
      <c r="B847" t="n">
        <v>3305</v>
      </c>
      <c r="C847">
        <f>IF(B847='🎯 一鍵查詢'!$C$5,COUNTIF($B$2:B847,'🎯 一鍵查詢'!$C$5),"")</f>
        <v/>
      </c>
    </row>
    <row r="848">
      <c r="A848" t="n">
        <v>33055</v>
      </c>
      <c r="B848" t="n">
        <v>3305</v>
      </c>
      <c r="C848">
        <f>IF(B848='🎯 一鍵查詢'!$C$5,COUNTIF($B$2:B848,'🎯 一鍵查詢'!$C$5),"")</f>
        <v/>
      </c>
    </row>
    <row r="849">
      <c r="A849" t="n">
        <v>33081</v>
      </c>
      <c r="B849" t="n">
        <v>3308</v>
      </c>
      <c r="C849">
        <f>IF(B849='🎯 一鍵查詢'!$C$5,COUNTIF($B$2:B849,'🎯 一鍵查詢'!$C$5),"")</f>
        <v/>
      </c>
    </row>
    <row r="850">
      <c r="A850" t="n">
        <v>33082</v>
      </c>
      <c r="B850" t="n">
        <v>3308</v>
      </c>
      <c r="C850">
        <f>IF(B850='🎯 一鍵查詢'!$C$5,COUNTIF($B$2:B850,'🎯 一鍵查詢'!$C$5),"")</f>
        <v/>
      </c>
    </row>
    <row r="851">
      <c r="A851" t="n">
        <v>33101</v>
      </c>
      <c r="B851" t="n">
        <v>3310</v>
      </c>
      <c r="C851">
        <f>IF(B851='🎯 一鍵查詢'!$C$5,COUNTIF($B$2:B851,'🎯 一鍵查詢'!$C$5),"")</f>
        <v/>
      </c>
    </row>
    <row r="852">
      <c r="A852" t="n">
        <v>33121</v>
      </c>
      <c r="B852" t="n">
        <v>3312</v>
      </c>
      <c r="C852">
        <f>IF(B852='🎯 一鍵查詢'!$C$5,COUNTIF($B$2:B852,'🎯 一鍵查詢'!$C$5),"")</f>
        <v/>
      </c>
    </row>
    <row r="853">
      <c r="A853" t="n">
        <v>33131</v>
      </c>
      <c r="B853" t="n">
        <v>3313</v>
      </c>
      <c r="C853">
        <f>IF(B853='🎯 一鍵查詢'!$C$5,COUNTIF($B$2:B853,'🎯 一鍵查詢'!$C$5),"")</f>
        <v/>
      </c>
    </row>
    <row r="854">
      <c r="A854" t="n">
        <v>33132</v>
      </c>
      <c r="B854" t="n">
        <v>3313</v>
      </c>
      <c r="C854">
        <f>IF(B854='🎯 一鍵查詢'!$C$5,COUNTIF($B$2:B854,'🎯 一鍵查詢'!$C$5),"")</f>
        <v/>
      </c>
    </row>
    <row r="855">
      <c r="A855" t="n">
        <v>33133</v>
      </c>
      <c r="B855" t="n">
        <v>3313</v>
      </c>
      <c r="C855">
        <f>IF(B855='🎯 一鍵查詢'!$C$5,COUNTIF($B$2:B855,'🎯 一鍵查詢'!$C$5),"")</f>
        <v/>
      </c>
    </row>
    <row r="856">
      <c r="A856" t="n">
        <v>33221</v>
      </c>
      <c r="B856" t="n">
        <v>3322</v>
      </c>
      <c r="C856">
        <f>IF(B856='🎯 一鍵查詢'!$C$5,COUNTIF($B$2:B856,'🎯 一鍵查詢'!$C$5),"")</f>
        <v/>
      </c>
    </row>
    <row r="857">
      <c r="A857" t="n">
        <v>33222</v>
      </c>
      <c r="B857" t="n">
        <v>3322</v>
      </c>
      <c r="C857">
        <f>IF(B857='🎯 一鍵查詢'!$C$5,COUNTIF($B$2:B857,'🎯 一鍵查詢'!$C$5),"")</f>
        <v/>
      </c>
    </row>
    <row r="858">
      <c r="A858" t="n">
        <v>33223</v>
      </c>
      <c r="B858" t="n">
        <v>3322</v>
      </c>
      <c r="C858">
        <f>IF(B858='🎯 一鍵查詢'!$C$5,COUNTIF($B$2:B858,'🎯 一鍵查詢'!$C$5),"")</f>
        <v/>
      </c>
    </row>
    <row r="859">
      <c r="A859" t="n">
        <v>33224</v>
      </c>
      <c r="B859" t="n">
        <v>3322</v>
      </c>
      <c r="C859">
        <f>IF(B859='🎯 一鍵查詢'!$C$5,COUNTIF($B$2:B859,'🎯 一鍵查詢'!$C$5),"")</f>
        <v/>
      </c>
    </row>
    <row r="860">
      <c r="A860" t="n">
        <v>33225</v>
      </c>
      <c r="B860" t="n">
        <v>3322</v>
      </c>
      <c r="C860">
        <f>IF(B860='🎯 一鍵查詢'!$C$5,COUNTIF($B$2:B860,'🎯 一鍵查詢'!$C$5),"")</f>
        <v/>
      </c>
    </row>
    <row r="861">
      <c r="A861" t="n">
        <v>33231</v>
      </c>
      <c r="B861" t="n">
        <v>3323</v>
      </c>
      <c r="C861">
        <f>IF(B861='🎯 一鍵查詢'!$C$5,COUNTIF($B$2:B861,'🎯 一鍵查詢'!$C$5),"")</f>
        <v/>
      </c>
    </row>
    <row r="862">
      <c r="A862" t="n">
        <v>33232</v>
      </c>
      <c r="B862" t="n">
        <v>3323</v>
      </c>
      <c r="C862">
        <f>IF(B862='🎯 一鍵查詢'!$C$5,COUNTIF($B$2:B862,'🎯 一鍵查詢'!$C$5),"")</f>
        <v/>
      </c>
    </row>
    <row r="863">
      <c r="A863" t="n">
        <v>33233</v>
      </c>
      <c r="B863" t="n">
        <v>3323</v>
      </c>
      <c r="C863">
        <f>IF(B863='🎯 一鍵查詢'!$C$5,COUNTIF($B$2:B863,'🎯 一鍵查詢'!$C$5),"")</f>
        <v/>
      </c>
    </row>
    <row r="864">
      <c r="A864" t="n">
        <v>33241</v>
      </c>
      <c r="B864" t="n">
        <v>3324</v>
      </c>
      <c r="C864">
        <f>IF(B864='🎯 一鍵查詢'!$C$5,COUNTIF($B$2:B864,'🎯 一鍵查詢'!$C$5),"")</f>
        <v/>
      </c>
    </row>
    <row r="865">
      <c r="A865" t="n">
        <v>33242</v>
      </c>
      <c r="B865" t="n">
        <v>3324</v>
      </c>
      <c r="C865">
        <f>IF(B865='🎯 一鍵查詢'!$C$5,COUNTIF($B$2:B865,'🎯 一鍵查詢'!$C$5),"")</f>
        <v/>
      </c>
    </row>
    <row r="866">
      <c r="A866" t="n">
        <v>33243</v>
      </c>
      <c r="B866" t="n">
        <v>3324</v>
      </c>
      <c r="C866">
        <f>IF(B866='🎯 一鍵查詢'!$C$5,COUNTIF($B$2:B866,'🎯 一鍵查詢'!$C$5),"")</f>
        <v/>
      </c>
    </row>
    <row r="867">
      <c r="A867" t="n">
        <v>33244</v>
      </c>
      <c r="B867" t="n">
        <v>3324</v>
      </c>
      <c r="C867">
        <f>IF(B867='🎯 一鍵查詢'!$C$5,COUNTIF($B$2:B867,'🎯 一鍵查詢'!$C$5),"")</f>
        <v/>
      </c>
    </row>
    <row r="868">
      <c r="A868" t="n">
        <v>33245</v>
      </c>
      <c r="B868" t="n">
        <v>3324</v>
      </c>
      <c r="C868">
        <f>IF(B868='🎯 一鍵查詢'!$C$5,COUNTIF($B$2:B868,'🎯 一鍵查詢'!$C$5),"")</f>
        <v/>
      </c>
    </row>
    <row r="869">
      <c r="A869" t="n">
        <v>33246</v>
      </c>
      <c r="B869" t="n">
        <v>3324</v>
      </c>
      <c r="C869">
        <f>IF(B869='🎯 一鍵查詢'!$C$5,COUNTIF($B$2:B869,'🎯 一鍵查詢'!$C$5),"")</f>
        <v/>
      </c>
    </row>
    <row r="870">
      <c r="A870" t="n">
        <v>33247</v>
      </c>
      <c r="B870" t="n">
        <v>3324</v>
      </c>
      <c r="C870">
        <f>IF(B870='🎯 一鍵查詢'!$C$5,COUNTIF($B$2:B870,'🎯 一鍵查詢'!$C$5),"")</f>
        <v/>
      </c>
    </row>
    <row r="871">
      <c r="A871" t="n">
        <v>33251</v>
      </c>
      <c r="B871" t="n">
        <v>3325</v>
      </c>
      <c r="C871">
        <f>IF(B871='🎯 一鍵查詢'!$C$5,COUNTIF($B$2:B871,'🎯 一鍵查詢'!$C$5),"")</f>
        <v/>
      </c>
    </row>
    <row r="872">
      <c r="A872" t="n">
        <v>33252</v>
      </c>
      <c r="B872" t="n">
        <v>3325</v>
      </c>
      <c r="C872">
        <f>IF(B872='🎯 一鍵查詢'!$C$5,COUNTIF($B$2:B872,'🎯 一鍵查詢'!$C$5),"")</f>
        <v/>
      </c>
    </row>
    <row r="873">
      <c r="A873" t="n">
        <v>33253</v>
      </c>
      <c r="B873" t="n">
        <v>3325</v>
      </c>
      <c r="C873">
        <f>IF(B873='🎯 一鍵查詢'!$C$5,COUNTIF($B$2:B873,'🎯 一鍵查詢'!$C$5),"")</f>
        <v/>
      </c>
    </row>
    <row r="874">
      <c r="A874" t="n">
        <v>33381</v>
      </c>
      <c r="B874" t="n">
        <v>3338</v>
      </c>
      <c r="C874">
        <f>IF(B874='🎯 一鍵查詢'!$C$5,COUNTIF($B$2:B874,'🎯 一鍵查詢'!$C$5),"")</f>
        <v/>
      </c>
    </row>
    <row r="875">
      <c r="A875" t="n">
        <v>33382</v>
      </c>
      <c r="B875" t="n">
        <v>3338</v>
      </c>
      <c r="C875">
        <f>IF(B875='🎯 一鍵查詢'!$C$5,COUNTIF($B$2:B875,'🎯 一鍵查詢'!$C$5),"")</f>
        <v/>
      </c>
    </row>
    <row r="876">
      <c r="A876" t="n">
        <v>33391</v>
      </c>
      <c r="B876" t="n">
        <v>3339</v>
      </c>
      <c r="C876">
        <f>IF(B876='🎯 一鍵查詢'!$C$5,COUNTIF($B$2:B876,'🎯 一鍵查詢'!$C$5),"")</f>
        <v/>
      </c>
    </row>
    <row r="877">
      <c r="A877" t="n">
        <v>33392</v>
      </c>
      <c r="B877" t="n">
        <v>3339</v>
      </c>
      <c r="C877">
        <f>IF(B877='🎯 一鍵查詢'!$C$5,COUNTIF($B$2:B877,'🎯 一鍵查詢'!$C$5),"")</f>
        <v/>
      </c>
    </row>
    <row r="878">
      <c r="A878" t="n">
        <v>33393</v>
      </c>
      <c r="B878" t="n">
        <v>3339</v>
      </c>
      <c r="C878">
        <f>IF(B878='🎯 一鍵查詢'!$C$5,COUNTIF($B$2:B878,'🎯 一鍵查詢'!$C$5),"")</f>
        <v/>
      </c>
    </row>
    <row r="879">
      <c r="A879" t="n">
        <v>33394</v>
      </c>
      <c r="B879" t="n">
        <v>3339</v>
      </c>
      <c r="C879">
        <f>IF(B879='🎯 一鍵查詢'!$C$5,COUNTIF($B$2:B879,'🎯 一鍵查詢'!$C$5),"")</f>
        <v/>
      </c>
    </row>
    <row r="880">
      <c r="A880" t="n">
        <v>33461</v>
      </c>
      <c r="B880" t="n">
        <v>3346</v>
      </c>
      <c r="C880">
        <f>IF(B880='🎯 一鍵查詢'!$C$5,COUNTIF($B$2:B880,'🎯 一鍵查詢'!$C$5),"")</f>
        <v/>
      </c>
    </row>
    <row r="881">
      <c r="A881" t="n">
        <v>33462</v>
      </c>
      <c r="B881" t="n">
        <v>3346</v>
      </c>
      <c r="C881">
        <f>IF(B881='🎯 一鍵查詢'!$C$5,COUNTIF($B$2:B881,'🎯 一鍵查詢'!$C$5),"")</f>
        <v/>
      </c>
    </row>
    <row r="882">
      <c r="A882" t="n">
        <v>33463</v>
      </c>
      <c r="B882" t="n">
        <v>3346</v>
      </c>
      <c r="C882">
        <f>IF(B882='🎯 一鍵查詢'!$C$5,COUNTIF($B$2:B882,'🎯 一鍵查詢'!$C$5),"")</f>
        <v/>
      </c>
    </row>
    <row r="883">
      <c r="A883" t="n">
        <v>33464</v>
      </c>
      <c r="B883" t="n">
        <v>3346</v>
      </c>
      <c r="C883">
        <f>IF(B883='🎯 一鍵查詢'!$C$5,COUNTIF($B$2:B883,'🎯 一鍵查詢'!$C$5),"")</f>
        <v/>
      </c>
    </row>
    <row r="884">
      <c r="A884" t="n">
        <v>33465</v>
      </c>
      <c r="B884" t="n">
        <v>3346</v>
      </c>
      <c r="C884">
        <f>IF(B884='🎯 一鍵查詢'!$C$5,COUNTIF($B$2:B884,'🎯 一鍵查詢'!$C$5),"")</f>
        <v/>
      </c>
    </row>
    <row r="885">
      <c r="A885" t="n">
        <v>33466</v>
      </c>
      <c r="B885" t="n">
        <v>3346</v>
      </c>
      <c r="C885">
        <f>IF(B885='🎯 一鍵查詢'!$C$5,COUNTIF($B$2:B885,'🎯 一鍵查詢'!$C$5),"")</f>
        <v/>
      </c>
    </row>
    <row r="886">
      <c r="A886" t="n">
        <v>33561</v>
      </c>
      <c r="B886" t="n">
        <v>3356</v>
      </c>
      <c r="C886">
        <f>IF(B886='🎯 一鍵查詢'!$C$5,COUNTIF($B$2:B886,'🎯 一鍵查詢'!$C$5),"")</f>
        <v/>
      </c>
    </row>
    <row r="887">
      <c r="A887" t="n">
        <v>33571</v>
      </c>
      <c r="B887" t="n">
        <v>3357</v>
      </c>
      <c r="C887">
        <f>IF(B887='🎯 一鍵查詢'!$C$5,COUNTIF($B$2:B887,'🎯 一鍵查詢'!$C$5),"")</f>
        <v/>
      </c>
    </row>
    <row r="888">
      <c r="A888" t="n">
        <v>33621</v>
      </c>
      <c r="B888" t="n">
        <v>3362</v>
      </c>
      <c r="C888">
        <f>IF(B888='🎯 一鍵查詢'!$C$5,COUNTIF($B$2:B888,'🎯 一鍵查詢'!$C$5),"")</f>
        <v/>
      </c>
    </row>
    <row r="889">
      <c r="A889" t="n">
        <v>33631</v>
      </c>
      <c r="B889" t="n">
        <v>3363</v>
      </c>
      <c r="C889">
        <f>IF(B889='🎯 一鍵查詢'!$C$5,COUNTIF($B$2:B889,'🎯 一鍵查詢'!$C$5),"")</f>
        <v/>
      </c>
    </row>
    <row r="890">
      <c r="A890" t="n">
        <v>33632</v>
      </c>
      <c r="B890" t="n">
        <v>3363</v>
      </c>
      <c r="C890">
        <f>IF(B890='🎯 一鍵查詢'!$C$5,COUNTIF($B$2:B890,'🎯 一鍵查詢'!$C$5),"")</f>
        <v/>
      </c>
    </row>
    <row r="891">
      <c r="A891" t="n">
        <v>33761</v>
      </c>
      <c r="B891" t="n">
        <v>3376</v>
      </c>
      <c r="C891">
        <f>IF(B891='🎯 一鍵查詢'!$C$5,COUNTIF($B$2:B891,'🎯 一鍵查詢'!$C$5),"")</f>
        <v/>
      </c>
    </row>
    <row r="892">
      <c r="A892" t="n">
        <v>33762</v>
      </c>
      <c r="B892" t="n">
        <v>3376</v>
      </c>
      <c r="C892">
        <f>IF(B892='🎯 一鍵查詢'!$C$5,COUNTIF($B$2:B892,'🎯 一鍵查詢'!$C$5),"")</f>
        <v/>
      </c>
    </row>
    <row r="893">
      <c r="A893" t="n">
        <v>33763</v>
      </c>
      <c r="B893" t="n">
        <v>3376</v>
      </c>
      <c r="C893">
        <f>IF(B893='🎯 一鍵查詢'!$C$5,COUNTIF($B$2:B893,'🎯 一鍵查詢'!$C$5),"")</f>
        <v/>
      </c>
    </row>
    <row r="894">
      <c r="A894" t="n">
        <v>33801</v>
      </c>
      <c r="B894" t="n">
        <v>3380</v>
      </c>
      <c r="C894">
        <f>IF(B894='🎯 一鍵查詢'!$C$5,COUNTIF($B$2:B894,'🎯 一鍵查詢'!$C$5),"")</f>
        <v/>
      </c>
    </row>
    <row r="895">
      <c r="A895" t="n">
        <v>33802</v>
      </c>
      <c r="B895" t="n">
        <v>3380</v>
      </c>
      <c r="C895">
        <f>IF(B895='🎯 一鍵查詢'!$C$5,COUNTIF($B$2:B895,'🎯 一鍵查詢'!$C$5),"")</f>
        <v/>
      </c>
    </row>
    <row r="896">
      <c r="A896" t="n">
        <v>33831</v>
      </c>
      <c r="B896" t="n">
        <v>3383</v>
      </c>
      <c r="C896">
        <f>IF(B896='🎯 一鍵查詢'!$C$5,COUNTIF($B$2:B896,'🎯 一鍵查詢'!$C$5),"")</f>
        <v/>
      </c>
    </row>
    <row r="897">
      <c r="A897" t="n">
        <v>33832</v>
      </c>
      <c r="B897" t="n">
        <v>3383</v>
      </c>
      <c r="C897">
        <f>IF(B897='🎯 一鍵查詢'!$C$5,COUNTIF($B$2:B897,'🎯 一鍵查詢'!$C$5),"")</f>
        <v/>
      </c>
    </row>
    <row r="898">
      <c r="A898" t="n">
        <v>33833</v>
      </c>
      <c r="B898" t="n">
        <v>3383</v>
      </c>
      <c r="C898">
        <f>IF(B898='🎯 一鍵查詢'!$C$5,COUNTIF($B$2:B898,'🎯 一鍵查詢'!$C$5),"")</f>
        <v/>
      </c>
    </row>
    <row r="899">
      <c r="A899" t="n">
        <v>33834</v>
      </c>
      <c r="B899" t="n">
        <v>3383</v>
      </c>
      <c r="C899">
        <f>IF(B899='🎯 一鍵查詢'!$C$5,COUNTIF($B$2:B899,'🎯 一鍵查詢'!$C$5),"")</f>
        <v/>
      </c>
    </row>
    <row r="900">
      <c r="A900" t="n">
        <v>33835</v>
      </c>
      <c r="B900" t="n">
        <v>3383</v>
      </c>
      <c r="C900">
        <f>IF(B900='🎯 一鍵查詢'!$C$5,COUNTIF($B$2:B900,'🎯 一鍵查詢'!$C$5),"")</f>
        <v/>
      </c>
    </row>
    <row r="901">
      <c r="A901" t="n">
        <v>33881</v>
      </c>
      <c r="B901" t="n">
        <v>3388</v>
      </c>
      <c r="C901">
        <f>IF(B901='🎯 一鍵查詢'!$C$5,COUNTIF($B$2:B901,'🎯 一鍵查詢'!$C$5),"")</f>
        <v/>
      </c>
    </row>
    <row r="902">
      <c r="A902" t="n">
        <v>33901</v>
      </c>
      <c r="B902" t="n">
        <v>3390</v>
      </c>
      <c r="C902">
        <f>IF(B902='🎯 一鍵查詢'!$C$5,COUNTIF($B$2:B902,'🎯 一鍵查詢'!$C$5),"")</f>
        <v/>
      </c>
    </row>
    <row r="903">
      <c r="A903" t="n">
        <v>33902</v>
      </c>
      <c r="B903" t="n">
        <v>3390</v>
      </c>
      <c r="C903">
        <f>IF(B903='🎯 一鍵查詢'!$C$5,COUNTIF($B$2:B903,'🎯 一鍵查詢'!$C$5),"")</f>
        <v/>
      </c>
    </row>
    <row r="904">
      <c r="A904" t="n">
        <v>34021</v>
      </c>
      <c r="B904" t="n">
        <v>3402</v>
      </c>
      <c r="C904">
        <f>IF(B904='🎯 一鍵查詢'!$C$5,COUNTIF($B$2:B904,'🎯 一鍵查詢'!$C$5),"")</f>
        <v/>
      </c>
    </row>
    <row r="905">
      <c r="A905" t="n">
        <v>34131</v>
      </c>
      <c r="B905" t="n">
        <v>3413</v>
      </c>
      <c r="C905">
        <f>IF(B905='🎯 一鍵查詢'!$C$5,COUNTIF($B$2:B905,'🎯 一鍵查詢'!$C$5),"")</f>
        <v/>
      </c>
    </row>
    <row r="906">
      <c r="A906" t="n">
        <v>34132</v>
      </c>
      <c r="B906" t="n">
        <v>3413</v>
      </c>
      <c r="C906">
        <f>IF(B906='🎯 一鍵查詢'!$C$5,COUNTIF($B$2:B906,'🎯 一鍵查詢'!$C$5),"")</f>
        <v/>
      </c>
    </row>
    <row r="907">
      <c r="A907" t="n">
        <v>34161</v>
      </c>
      <c r="B907" t="n">
        <v>3416</v>
      </c>
      <c r="C907">
        <f>IF(B907='🎯 一鍵查詢'!$C$5,COUNTIF($B$2:B907,'🎯 一鍵查詢'!$C$5),"")</f>
        <v/>
      </c>
    </row>
    <row r="908">
      <c r="A908" t="n">
        <v>34162</v>
      </c>
      <c r="B908" t="n">
        <v>3416</v>
      </c>
      <c r="C908">
        <f>IF(B908='🎯 一鍵查詢'!$C$5,COUNTIF($B$2:B908,'🎯 一鍵查詢'!$C$5),"")</f>
        <v/>
      </c>
    </row>
    <row r="909">
      <c r="A909" t="n">
        <v>34163</v>
      </c>
      <c r="B909" t="n">
        <v>3416</v>
      </c>
      <c r="C909">
        <f>IF(B909='🎯 一鍵查詢'!$C$5,COUNTIF($B$2:B909,'🎯 一鍵查詢'!$C$5),"")</f>
        <v/>
      </c>
    </row>
    <row r="910">
      <c r="A910" t="n">
        <v>34191</v>
      </c>
      <c r="B910" t="n">
        <v>3419</v>
      </c>
      <c r="C910">
        <f>IF(B910='🎯 一鍵查詢'!$C$5,COUNTIF($B$2:B910,'🎯 一鍵查詢'!$C$5),"")</f>
        <v/>
      </c>
    </row>
    <row r="911">
      <c r="A911" t="n">
        <v>34192</v>
      </c>
      <c r="B911" t="n">
        <v>3419</v>
      </c>
      <c r="C911">
        <f>IF(B911='🎯 一鍵查詢'!$C$5,COUNTIF($B$2:B911,'🎯 一鍵查詢'!$C$5),"")</f>
        <v/>
      </c>
    </row>
    <row r="912">
      <c r="A912" t="n">
        <v>34311</v>
      </c>
      <c r="B912" t="n">
        <v>3431</v>
      </c>
      <c r="C912">
        <f>IF(B912='🎯 一鍵查詢'!$C$5,COUNTIF($B$2:B912,'🎯 一鍵查詢'!$C$5),"")</f>
        <v/>
      </c>
    </row>
    <row r="913">
      <c r="A913" t="n">
        <v>34341</v>
      </c>
      <c r="B913" t="n">
        <v>3434</v>
      </c>
      <c r="C913">
        <f>IF(B913='🎯 一鍵查詢'!$C$5,COUNTIF($B$2:B913,'🎯 一鍵查詢'!$C$5),"")</f>
        <v/>
      </c>
    </row>
    <row r="914">
      <c r="A914" t="n">
        <v>34381</v>
      </c>
      <c r="B914" t="n">
        <v>3438</v>
      </c>
      <c r="C914">
        <f>IF(B914='🎯 一鍵查詢'!$C$5,COUNTIF($B$2:B914,'🎯 一鍵查詢'!$C$5),"")</f>
        <v/>
      </c>
    </row>
    <row r="915">
      <c r="A915" t="n">
        <v>34382</v>
      </c>
      <c r="B915" t="n">
        <v>3438</v>
      </c>
      <c r="C915">
        <f>IF(B915='🎯 一鍵查詢'!$C$5,COUNTIF($B$2:B915,'🎯 一鍵查詢'!$C$5),"")</f>
        <v/>
      </c>
    </row>
    <row r="916">
      <c r="A916" t="n">
        <v>34521</v>
      </c>
      <c r="B916" t="n">
        <v>3452</v>
      </c>
      <c r="C916">
        <f>IF(B916='🎯 一鍵查詢'!$C$5,COUNTIF($B$2:B916,'🎯 一鍵查詢'!$C$5),"")</f>
        <v/>
      </c>
    </row>
    <row r="917">
      <c r="A917" t="n">
        <v>34522</v>
      </c>
      <c r="B917" t="n">
        <v>3452</v>
      </c>
      <c r="C917">
        <f>IF(B917='🎯 一鍵查詢'!$C$5,COUNTIF($B$2:B917,'🎯 一鍵查詢'!$C$5),"")</f>
        <v/>
      </c>
    </row>
    <row r="918">
      <c r="A918" t="n">
        <v>34523</v>
      </c>
      <c r="B918" t="n">
        <v>3452</v>
      </c>
      <c r="C918">
        <f>IF(B918='🎯 一鍵查詢'!$C$5,COUNTIF($B$2:B918,'🎯 一鍵查詢'!$C$5),"")</f>
        <v/>
      </c>
    </row>
    <row r="919">
      <c r="A919" t="n">
        <v>34541</v>
      </c>
      <c r="B919" t="n">
        <v>3454</v>
      </c>
      <c r="C919">
        <f>IF(B919='🎯 一鍵查詢'!$C$5,COUNTIF($B$2:B919,'🎯 一鍵查詢'!$C$5),"")</f>
        <v/>
      </c>
    </row>
    <row r="920">
      <c r="A920" t="n">
        <v>34651</v>
      </c>
      <c r="B920" t="n">
        <v>3465</v>
      </c>
      <c r="C920">
        <f>IF(B920='🎯 一鍵查詢'!$C$5,COUNTIF($B$2:B920,'🎯 一鍵查詢'!$C$5),"")</f>
        <v/>
      </c>
    </row>
    <row r="921">
      <c r="A921" t="n">
        <v>34652</v>
      </c>
      <c r="B921" t="n">
        <v>3465</v>
      </c>
      <c r="C921">
        <f>IF(B921='🎯 一鍵查詢'!$C$5,COUNTIF($B$2:B921,'🎯 一鍵查詢'!$C$5),"")</f>
        <v/>
      </c>
    </row>
    <row r="922">
      <c r="A922" t="n">
        <v>34653</v>
      </c>
      <c r="B922" t="n">
        <v>3465</v>
      </c>
      <c r="C922">
        <f>IF(B922='🎯 一鍵查詢'!$C$5,COUNTIF($B$2:B922,'🎯 一鍵查詢'!$C$5),"")</f>
        <v/>
      </c>
    </row>
    <row r="923">
      <c r="A923" t="n">
        <v>34654</v>
      </c>
      <c r="B923" t="n">
        <v>3465</v>
      </c>
      <c r="C923">
        <f>IF(B923='🎯 一鍵查詢'!$C$5,COUNTIF($B$2:B923,'🎯 一鍵查詢'!$C$5),"")</f>
        <v/>
      </c>
    </row>
    <row r="924">
      <c r="A924" t="n">
        <v>34791</v>
      </c>
      <c r="B924" t="n">
        <v>3479</v>
      </c>
      <c r="C924">
        <f>IF(B924='🎯 一鍵查詢'!$C$5,COUNTIF($B$2:B924,'🎯 一鍵查詢'!$C$5),"")</f>
        <v/>
      </c>
    </row>
    <row r="925">
      <c r="A925" t="n">
        <v>34792</v>
      </c>
      <c r="B925" t="n">
        <v>3479</v>
      </c>
      <c r="C925">
        <f>IF(B925='🎯 一鍵查詢'!$C$5,COUNTIF($B$2:B925,'🎯 一鍵查詢'!$C$5),"")</f>
        <v/>
      </c>
    </row>
    <row r="926">
      <c r="A926" t="n">
        <v>34793</v>
      </c>
      <c r="B926" t="n">
        <v>3479</v>
      </c>
      <c r="C926">
        <f>IF(B926='🎯 一鍵查詢'!$C$5,COUNTIF($B$2:B926,'🎯 一鍵查詢'!$C$5),"")</f>
        <v/>
      </c>
    </row>
    <row r="927">
      <c r="A927" t="n">
        <v>34831</v>
      </c>
      <c r="B927" t="n">
        <v>3483</v>
      </c>
      <c r="C927">
        <f>IF(B927='🎯 一鍵查詢'!$C$5,COUNTIF($B$2:B927,'🎯 一鍵查詢'!$C$5),"")</f>
        <v/>
      </c>
    </row>
    <row r="928">
      <c r="A928" t="n">
        <v>34832</v>
      </c>
      <c r="B928" t="n">
        <v>3483</v>
      </c>
      <c r="C928">
        <f>IF(B928='🎯 一鍵查詢'!$C$5,COUNTIF($B$2:B928,'🎯 一鍵查詢'!$C$5),"")</f>
        <v/>
      </c>
    </row>
    <row r="929">
      <c r="A929" t="n">
        <v>34833</v>
      </c>
      <c r="B929" t="n">
        <v>3483</v>
      </c>
      <c r="C929">
        <f>IF(B929='🎯 一鍵查詢'!$C$5,COUNTIF($B$2:B929,'🎯 一鍵查詢'!$C$5),"")</f>
        <v/>
      </c>
    </row>
    <row r="930">
      <c r="A930" t="n">
        <v>34834</v>
      </c>
      <c r="B930" t="n">
        <v>3483</v>
      </c>
      <c r="C930">
        <f>IF(B930='🎯 一鍵查詢'!$C$5,COUNTIF($B$2:B930,'🎯 一鍵查詢'!$C$5),"")</f>
        <v/>
      </c>
    </row>
    <row r="931">
      <c r="A931" t="n">
        <v>34841</v>
      </c>
      <c r="B931" t="n">
        <v>3484</v>
      </c>
      <c r="C931">
        <f>IF(B931='🎯 一鍵查詢'!$C$5,COUNTIF($B$2:B931,'🎯 一鍵查詢'!$C$5),"")</f>
        <v/>
      </c>
    </row>
    <row r="932">
      <c r="A932" t="n">
        <v>34842</v>
      </c>
      <c r="B932" t="n">
        <v>3484</v>
      </c>
      <c r="C932">
        <f>IF(B932='🎯 一鍵查詢'!$C$5,COUNTIF($B$2:B932,'🎯 一鍵查詢'!$C$5),"")</f>
        <v/>
      </c>
    </row>
    <row r="933">
      <c r="A933" t="n">
        <v>34843</v>
      </c>
      <c r="B933" t="n">
        <v>3484</v>
      </c>
      <c r="C933">
        <f>IF(B933='🎯 一鍵查詢'!$C$5,COUNTIF($B$2:B933,'🎯 一鍵查詢'!$C$5),"")</f>
        <v/>
      </c>
    </row>
    <row r="934">
      <c r="A934" t="n">
        <v>34891</v>
      </c>
      <c r="B934" t="n">
        <v>3489</v>
      </c>
      <c r="C934">
        <f>IF(B934='🎯 一鍵查詢'!$C$5,COUNTIF($B$2:B934,'🎯 一鍵查詢'!$C$5),"")</f>
        <v/>
      </c>
    </row>
    <row r="935">
      <c r="A935" t="n">
        <v>34901</v>
      </c>
      <c r="B935" t="n">
        <v>3490</v>
      </c>
      <c r="C935">
        <f>IF(B935='🎯 一鍵查詢'!$C$5,COUNTIF($B$2:B935,'🎯 一鍵查詢'!$C$5),"")</f>
        <v/>
      </c>
    </row>
    <row r="936">
      <c r="A936" t="n">
        <v>34911</v>
      </c>
      <c r="B936" t="n">
        <v>3491</v>
      </c>
      <c r="C936">
        <f>IF(B936='🎯 一鍵查詢'!$C$5,COUNTIF($B$2:B936,'🎯 一鍵查詢'!$C$5),"")</f>
        <v/>
      </c>
    </row>
    <row r="937">
      <c r="A937" t="n">
        <v>34912</v>
      </c>
      <c r="B937" t="n">
        <v>3491</v>
      </c>
      <c r="C937">
        <f>IF(B937='🎯 一鍵查詢'!$C$5,COUNTIF($B$2:B937,'🎯 一鍵查詢'!$C$5),"")</f>
        <v/>
      </c>
    </row>
    <row r="938">
      <c r="A938" t="n">
        <v>34941</v>
      </c>
      <c r="B938" t="n">
        <v>3494</v>
      </c>
      <c r="C938">
        <f>IF(B938='🎯 一鍵查詢'!$C$5,COUNTIF($B$2:B938,'🎯 一鍵查詢'!$C$5),"")</f>
        <v/>
      </c>
    </row>
    <row r="939">
      <c r="A939" t="n">
        <v>34991</v>
      </c>
      <c r="B939" t="n">
        <v>3499</v>
      </c>
      <c r="C939">
        <f>IF(B939='🎯 一鍵查詢'!$C$5,COUNTIF($B$2:B939,'🎯 一鍵查詢'!$C$5),"")</f>
        <v/>
      </c>
    </row>
    <row r="940">
      <c r="A940" t="n">
        <v>34992</v>
      </c>
      <c r="B940" t="n">
        <v>3499</v>
      </c>
      <c r="C940">
        <f>IF(B940='🎯 一鍵查詢'!$C$5,COUNTIF($B$2:B940,'🎯 一鍵查詢'!$C$5),"")</f>
        <v/>
      </c>
    </row>
    <row r="941">
      <c r="A941" t="n">
        <v>35121</v>
      </c>
      <c r="B941" t="n">
        <v>3512</v>
      </c>
      <c r="C941">
        <f>IF(B941='🎯 一鍵查詢'!$C$5,COUNTIF($B$2:B941,'🎯 一鍵查詢'!$C$5),"")</f>
        <v/>
      </c>
    </row>
    <row r="942">
      <c r="A942" t="n">
        <v>35141</v>
      </c>
      <c r="B942" t="n">
        <v>3514</v>
      </c>
      <c r="C942">
        <f>IF(B942='🎯 一鍵查詢'!$C$5,COUNTIF($B$2:B942,'🎯 一鍵查詢'!$C$5),"")</f>
        <v/>
      </c>
    </row>
    <row r="943">
      <c r="A943" t="n">
        <v>35142</v>
      </c>
      <c r="B943" t="n">
        <v>3514</v>
      </c>
      <c r="C943">
        <f>IF(B943='🎯 一鍵查詢'!$C$5,COUNTIF($B$2:B943,'🎯 一鍵查詢'!$C$5),"")</f>
        <v/>
      </c>
    </row>
    <row r="944">
      <c r="A944" t="n">
        <v>35161</v>
      </c>
      <c r="B944" t="n">
        <v>3516</v>
      </c>
      <c r="C944">
        <f>IF(B944='🎯 一鍵查詢'!$C$5,COUNTIF($B$2:B944,'🎯 一鍵查詢'!$C$5),"")</f>
        <v/>
      </c>
    </row>
    <row r="945">
      <c r="A945" t="n">
        <v>35181</v>
      </c>
      <c r="B945" t="n">
        <v>3518</v>
      </c>
      <c r="C945">
        <f>IF(B945='🎯 一鍵查詢'!$C$5,COUNTIF($B$2:B945,'🎯 一鍵查詢'!$C$5),"")</f>
        <v/>
      </c>
    </row>
    <row r="946">
      <c r="A946" t="n">
        <v>35191</v>
      </c>
      <c r="B946" t="n">
        <v>3519</v>
      </c>
      <c r="C946">
        <f>IF(B946='🎯 一鍵查詢'!$C$5,COUNTIF($B$2:B946,'🎯 一鍵查詢'!$C$5),"")</f>
        <v/>
      </c>
    </row>
    <row r="947">
      <c r="A947" t="n">
        <v>35211</v>
      </c>
      <c r="B947" t="n">
        <v>3521</v>
      </c>
      <c r="C947">
        <f>IF(B947='🎯 一鍵查詢'!$C$5,COUNTIF($B$2:B947,'🎯 一鍵查詢'!$C$5),"")</f>
        <v/>
      </c>
    </row>
    <row r="948">
      <c r="A948" t="n">
        <v>35221</v>
      </c>
      <c r="B948" t="n">
        <v>3522</v>
      </c>
      <c r="C948">
        <f>IF(B948='🎯 一鍵查詢'!$C$5,COUNTIF($B$2:B948,'🎯 一鍵查詢'!$C$5),"")</f>
        <v/>
      </c>
    </row>
    <row r="949">
      <c r="A949" t="n">
        <v>35231</v>
      </c>
      <c r="B949" t="n">
        <v>3523</v>
      </c>
      <c r="C949">
        <f>IF(B949='🎯 一鍵查詢'!$C$5,COUNTIF($B$2:B949,'🎯 一鍵查詢'!$C$5),"")</f>
        <v/>
      </c>
    </row>
    <row r="950">
      <c r="A950" t="n">
        <v>35261</v>
      </c>
      <c r="B950" t="n">
        <v>3526</v>
      </c>
      <c r="C950">
        <f>IF(B950='🎯 一鍵查詢'!$C$5,COUNTIF($B$2:B950,'🎯 一鍵查詢'!$C$5),"")</f>
        <v/>
      </c>
    </row>
    <row r="951">
      <c r="A951" t="n">
        <v>35262</v>
      </c>
      <c r="B951" t="n">
        <v>3526</v>
      </c>
      <c r="C951">
        <f>IF(B951='🎯 一鍵查詢'!$C$5,COUNTIF($B$2:B951,'🎯 一鍵查詢'!$C$5),"")</f>
        <v/>
      </c>
    </row>
    <row r="952">
      <c r="A952" t="n">
        <v>35263</v>
      </c>
      <c r="B952" t="n">
        <v>3526</v>
      </c>
      <c r="C952">
        <f>IF(B952='🎯 一鍵查詢'!$C$5,COUNTIF($B$2:B952,'🎯 一鍵查詢'!$C$5),"")</f>
        <v/>
      </c>
    </row>
    <row r="953">
      <c r="A953" t="n">
        <v>35264</v>
      </c>
      <c r="B953" t="n">
        <v>3526</v>
      </c>
      <c r="C953">
        <f>IF(B953='🎯 一鍵查詢'!$C$5,COUNTIF($B$2:B953,'🎯 一鍵查詢'!$C$5),"")</f>
        <v/>
      </c>
    </row>
    <row r="954">
      <c r="A954" t="n">
        <v>35265</v>
      </c>
      <c r="B954" t="n">
        <v>3526</v>
      </c>
      <c r="C954">
        <f>IF(B954='🎯 一鍵查詢'!$C$5,COUNTIF($B$2:B954,'🎯 一鍵查詢'!$C$5),"")</f>
        <v/>
      </c>
    </row>
    <row r="955">
      <c r="A955" t="n">
        <v>35266</v>
      </c>
      <c r="B955" t="n">
        <v>3526</v>
      </c>
      <c r="C955">
        <f>IF(B955='🎯 一鍵查詢'!$C$5,COUNTIF($B$2:B955,'🎯 一鍵查詢'!$C$5),"")</f>
        <v/>
      </c>
    </row>
    <row r="956">
      <c r="A956" t="n">
        <v>35267</v>
      </c>
      <c r="B956" t="n">
        <v>3526</v>
      </c>
      <c r="C956">
        <f>IF(B956='🎯 一鍵查詢'!$C$5,COUNTIF($B$2:B956,'🎯 一鍵查詢'!$C$5),"")</f>
        <v/>
      </c>
    </row>
    <row r="957">
      <c r="A957" t="n">
        <v>35271</v>
      </c>
      <c r="B957" t="n">
        <v>3527</v>
      </c>
      <c r="C957">
        <f>IF(B957='🎯 一鍵查詢'!$C$5,COUNTIF($B$2:B957,'🎯 一鍵查詢'!$C$5),"")</f>
        <v/>
      </c>
    </row>
    <row r="958">
      <c r="A958" t="n">
        <v>35331</v>
      </c>
      <c r="B958" t="n">
        <v>3533</v>
      </c>
      <c r="C958">
        <f>IF(B958='🎯 一鍵查詢'!$C$5,COUNTIF($B$2:B958,'🎯 一鍵查詢'!$C$5),"")</f>
        <v/>
      </c>
    </row>
    <row r="959">
      <c r="A959" t="n">
        <v>35332</v>
      </c>
      <c r="B959" t="n">
        <v>3533</v>
      </c>
      <c r="C959">
        <f>IF(B959='🎯 一鍵查詢'!$C$5,COUNTIF($B$2:B959,'🎯 一鍵查詢'!$C$5),"")</f>
        <v/>
      </c>
    </row>
    <row r="960">
      <c r="A960" t="n">
        <v>35351</v>
      </c>
      <c r="B960" t="n">
        <v>3535</v>
      </c>
      <c r="C960">
        <f>IF(B960='🎯 一鍵查詢'!$C$5,COUNTIF($B$2:B960,'🎯 一鍵查詢'!$C$5),"")</f>
        <v/>
      </c>
    </row>
    <row r="961">
      <c r="A961" t="n">
        <v>35352</v>
      </c>
      <c r="B961" t="n">
        <v>3535</v>
      </c>
      <c r="C961">
        <f>IF(B961='🎯 一鍵查詢'!$C$5,COUNTIF($B$2:B961,'🎯 一鍵查詢'!$C$5),"")</f>
        <v/>
      </c>
    </row>
    <row r="962">
      <c r="A962" t="n">
        <v>35361</v>
      </c>
      <c r="B962" t="n">
        <v>3536</v>
      </c>
      <c r="C962">
        <f>IF(B962='🎯 一鍵查詢'!$C$5,COUNTIF($B$2:B962,'🎯 一鍵查詢'!$C$5),"")</f>
        <v/>
      </c>
    </row>
    <row r="963">
      <c r="A963" t="n">
        <v>35363</v>
      </c>
      <c r="B963" t="n">
        <v>3536</v>
      </c>
      <c r="C963">
        <f>IF(B963='🎯 一鍵查詢'!$C$5,COUNTIF($B$2:B963,'🎯 一鍵查詢'!$C$5),"")</f>
        <v/>
      </c>
    </row>
    <row r="964">
      <c r="A964" t="n">
        <v>35431</v>
      </c>
      <c r="B964" t="n">
        <v>3543</v>
      </c>
      <c r="C964">
        <f>IF(B964='🎯 一鍵查詢'!$C$5,COUNTIF($B$2:B964,'🎯 一鍵查詢'!$C$5),"")</f>
        <v/>
      </c>
    </row>
    <row r="965">
      <c r="A965" t="n">
        <v>35451</v>
      </c>
      <c r="B965" t="n">
        <v>3545</v>
      </c>
      <c r="C965">
        <f>IF(B965='🎯 一鍵查詢'!$C$5,COUNTIF($B$2:B965,'🎯 一鍵查詢'!$C$5),"")</f>
        <v/>
      </c>
    </row>
    <row r="966">
      <c r="A966" t="n">
        <v>35481</v>
      </c>
      <c r="B966" t="n">
        <v>3548</v>
      </c>
      <c r="C966">
        <f>IF(B966='🎯 一鍵查詢'!$C$5,COUNTIF($B$2:B966,'🎯 一鍵查詢'!$C$5),"")</f>
        <v/>
      </c>
    </row>
    <row r="967">
      <c r="A967" t="n">
        <v>35482</v>
      </c>
      <c r="B967" t="n">
        <v>3548</v>
      </c>
      <c r="C967">
        <f>IF(B967='🎯 一鍵查詢'!$C$5,COUNTIF($B$2:B967,'🎯 一鍵查詢'!$C$5),"")</f>
        <v/>
      </c>
    </row>
    <row r="968">
      <c r="A968" t="n">
        <v>35483</v>
      </c>
      <c r="B968" t="n">
        <v>3548</v>
      </c>
      <c r="C968">
        <f>IF(B968='🎯 一鍵查詢'!$C$5,COUNTIF($B$2:B968,'🎯 一鍵查詢'!$C$5),"")</f>
        <v/>
      </c>
    </row>
    <row r="969">
      <c r="A969" t="n">
        <v>35511</v>
      </c>
      <c r="B969" t="n">
        <v>3551</v>
      </c>
      <c r="C969">
        <f>IF(B969='🎯 一鍵查詢'!$C$5,COUNTIF($B$2:B969,'🎯 一鍵查詢'!$C$5),"")</f>
        <v/>
      </c>
    </row>
    <row r="970">
      <c r="A970" t="n">
        <v>35512</v>
      </c>
      <c r="B970" t="n">
        <v>3551</v>
      </c>
      <c r="C970">
        <f>IF(B970='🎯 一鍵查詢'!$C$5,COUNTIF($B$2:B970,'🎯 一鍵查詢'!$C$5),"")</f>
        <v/>
      </c>
    </row>
    <row r="971">
      <c r="A971" t="n">
        <v>35513</v>
      </c>
      <c r="B971" t="n">
        <v>3551</v>
      </c>
      <c r="C971">
        <f>IF(B971='🎯 一鍵查詢'!$C$5,COUNTIF($B$2:B971,'🎯 一鍵查詢'!$C$5),"")</f>
        <v/>
      </c>
    </row>
    <row r="972">
      <c r="A972" t="n">
        <v>35521</v>
      </c>
      <c r="B972" t="n">
        <v>3552</v>
      </c>
      <c r="C972">
        <f>IF(B972='🎯 一鍵查詢'!$C$5,COUNTIF($B$2:B972,'🎯 一鍵查詢'!$C$5),"")</f>
        <v/>
      </c>
    </row>
    <row r="973">
      <c r="A973" t="n">
        <v>35522</v>
      </c>
      <c r="B973" t="n">
        <v>3552</v>
      </c>
      <c r="C973">
        <f>IF(B973='🎯 一鍵查詢'!$C$5,COUNTIF($B$2:B973,'🎯 一鍵查詢'!$C$5),"")</f>
        <v/>
      </c>
    </row>
    <row r="974">
      <c r="A974" t="n">
        <v>35523</v>
      </c>
      <c r="B974" t="n">
        <v>3552</v>
      </c>
      <c r="C974">
        <f>IF(B974='🎯 一鍵查詢'!$C$5,COUNTIF($B$2:B974,'🎯 一鍵查詢'!$C$5),"")</f>
        <v/>
      </c>
    </row>
    <row r="975">
      <c r="A975" t="n">
        <v>35571</v>
      </c>
      <c r="B975" t="n">
        <v>3557</v>
      </c>
      <c r="C975">
        <f>IF(B975='🎯 一鍵查詢'!$C$5,COUNTIF($B$2:B975,'🎯 一鍵查詢'!$C$5),"")</f>
        <v/>
      </c>
    </row>
    <row r="976">
      <c r="A976" t="n">
        <v>35641</v>
      </c>
      <c r="B976" t="n">
        <v>3564</v>
      </c>
      <c r="C976">
        <f>IF(B976='🎯 一鍵查詢'!$C$5,COUNTIF($B$2:B976,'🎯 一鍵查詢'!$C$5),"")</f>
        <v/>
      </c>
    </row>
    <row r="977">
      <c r="A977" t="n">
        <v>35642</v>
      </c>
      <c r="B977" t="n">
        <v>3564</v>
      </c>
      <c r="C977">
        <f>IF(B977='🎯 一鍵查詢'!$C$5,COUNTIF($B$2:B977,'🎯 一鍵查詢'!$C$5),"")</f>
        <v/>
      </c>
    </row>
    <row r="978">
      <c r="A978" t="n">
        <v>35761</v>
      </c>
      <c r="B978" t="n">
        <v>3576</v>
      </c>
      <c r="C978">
        <f>IF(B978='🎯 一鍵查詢'!$C$5,COUNTIF($B$2:B978,'🎯 一鍵查詢'!$C$5),"")</f>
        <v/>
      </c>
    </row>
    <row r="979">
      <c r="A979" t="n">
        <v>35762</v>
      </c>
      <c r="B979" t="n">
        <v>3576</v>
      </c>
      <c r="C979">
        <f>IF(B979='🎯 一鍵查詢'!$C$5,COUNTIF($B$2:B979,'🎯 一鍵查詢'!$C$5),"")</f>
        <v/>
      </c>
    </row>
    <row r="980">
      <c r="A980" t="n">
        <v>35763</v>
      </c>
      <c r="B980" t="n">
        <v>3576</v>
      </c>
      <c r="C980">
        <f>IF(B980='🎯 一鍵查詢'!$C$5,COUNTIF($B$2:B980,'🎯 一鍵查詢'!$C$5),"")</f>
        <v/>
      </c>
    </row>
    <row r="981">
      <c r="A981" t="n">
        <v>35791</v>
      </c>
      <c r="B981" t="n">
        <v>3579</v>
      </c>
      <c r="C981">
        <f>IF(B981='🎯 一鍵查詢'!$C$5,COUNTIF($B$2:B981,'🎯 一鍵查詢'!$C$5),"")</f>
        <v/>
      </c>
    </row>
    <row r="982">
      <c r="A982" t="n">
        <v>35801</v>
      </c>
      <c r="B982" t="n">
        <v>3580</v>
      </c>
      <c r="C982">
        <f>IF(B982='🎯 一鍵查詢'!$C$5,COUNTIF($B$2:B982,'🎯 一鍵查詢'!$C$5),"")</f>
        <v/>
      </c>
    </row>
    <row r="983">
      <c r="A983" t="n">
        <v>35802</v>
      </c>
      <c r="B983" t="n">
        <v>3580</v>
      </c>
      <c r="C983">
        <f>IF(B983='🎯 一鍵查詢'!$C$5,COUNTIF($B$2:B983,'🎯 一鍵查詢'!$C$5),"")</f>
        <v/>
      </c>
    </row>
    <row r="984">
      <c r="A984" t="n">
        <v>35831</v>
      </c>
      <c r="B984" t="n">
        <v>3583</v>
      </c>
      <c r="C984">
        <f>IF(B984='🎯 一鍵查詢'!$C$5,COUNTIF($B$2:B984,'🎯 一鍵查詢'!$C$5),"")</f>
        <v/>
      </c>
    </row>
    <row r="985">
      <c r="A985" t="n">
        <v>35832</v>
      </c>
      <c r="B985" t="n">
        <v>3583</v>
      </c>
      <c r="C985">
        <f>IF(B985='🎯 一鍵查詢'!$C$5,COUNTIF($B$2:B985,'🎯 一鍵查詢'!$C$5),"")</f>
        <v/>
      </c>
    </row>
    <row r="986">
      <c r="A986" t="n">
        <v>35841</v>
      </c>
      <c r="B986" t="n">
        <v>3584</v>
      </c>
      <c r="C986">
        <f>IF(B986='🎯 一鍵查詢'!$C$5,COUNTIF($B$2:B986,'🎯 一鍵查詢'!$C$5),"")</f>
        <v/>
      </c>
    </row>
    <row r="987">
      <c r="A987" t="n">
        <v>35871</v>
      </c>
      <c r="B987" t="n">
        <v>3587</v>
      </c>
      <c r="C987">
        <f>IF(B987='🎯 一鍵查詢'!$C$5,COUNTIF($B$2:B987,'🎯 一鍵查詢'!$C$5),"")</f>
        <v/>
      </c>
    </row>
    <row r="988">
      <c r="A988" t="n">
        <v>35872</v>
      </c>
      <c r="B988" t="n">
        <v>3587</v>
      </c>
      <c r="C988">
        <f>IF(B988='🎯 一鍵查詢'!$C$5,COUNTIF($B$2:B988,'🎯 一鍵查詢'!$C$5),"")</f>
        <v/>
      </c>
    </row>
    <row r="989">
      <c r="A989" t="n">
        <v>35911</v>
      </c>
      <c r="B989" t="n">
        <v>3591</v>
      </c>
      <c r="C989">
        <f>IF(B989='🎯 一鍵查詢'!$C$5,COUNTIF($B$2:B989,'🎯 一鍵查詢'!$C$5),"")</f>
        <v/>
      </c>
    </row>
    <row r="990">
      <c r="A990" t="n">
        <v>35912</v>
      </c>
      <c r="B990" t="n">
        <v>3591</v>
      </c>
      <c r="C990">
        <f>IF(B990='🎯 一鍵查詢'!$C$5,COUNTIF($B$2:B990,'🎯 一鍵查詢'!$C$5),"")</f>
        <v/>
      </c>
    </row>
    <row r="991">
      <c r="A991" t="n">
        <v>35913</v>
      </c>
      <c r="B991" t="n">
        <v>3591</v>
      </c>
      <c r="C991">
        <f>IF(B991='🎯 一鍵查詢'!$C$5,COUNTIF($B$2:B991,'🎯 一鍵查詢'!$C$5),"")</f>
        <v/>
      </c>
    </row>
    <row r="992">
      <c r="A992" t="n">
        <v>35914</v>
      </c>
      <c r="B992" t="n">
        <v>3591</v>
      </c>
      <c r="C992">
        <f>IF(B992='🎯 一鍵查詢'!$C$5,COUNTIF($B$2:B992,'🎯 一鍵查詢'!$C$5),"")</f>
        <v/>
      </c>
    </row>
    <row r="993">
      <c r="A993" t="n">
        <v>35941</v>
      </c>
      <c r="B993" t="n">
        <v>3594</v>
      </c>
      <c r="C993">
        <f>IF(B993='🎯 一鍵查詢'!$C$5,COUNTIF($B$2:B993,'🎯 一鍵查詢'!$C$5),"")</f>
        <v/>
      </c>
    </row>
    <row r="994">
      <c r="A994" t="n">
        <v>35942</v>
      </c>
      <c r="B994" t="n">
        <v>3594</v>
      </c>
      <c r="C994">
        <f>IF(B994='🎯 一鍵查詢'!$C$5,COUNTIF($B$2:B994,'🎯 一鍵查詢'!$C$5),"")</f>
        <v/>
      </c>
    </row>
    <row r="995">
      <c r="A995" t="n">
        <v>35943</v>
      </c>
      <c r="B995" t="n">
        <v>3594</v>
      </c>
      <c r="C995">
        <f>IF(B995='🎯 一鍵查詢'!$C$5,COUNTIF($B$2:B995,'🎯 一鍵查詢'!$C$5),"")</f>
        <v/>
      </c>
    </row>
    <row r="996">
      <c r="A996" t="n">
        <v>35961</v>
      </c>
      <c r="B996" t="n">
        <v>3596</v>
      </c>
      <c r="C996">
        <f>IF(B996='🎯 一鍵查詢'!$C$5,COUNTIF($B$2:B996,'🎯 一鍵查詢'!$C$5),"")</f>
        <v/>
      </c>
    </row>
    <row r="997">
      <c r="A997" t="n">
        <v>35971</v>
      </c>
      <c r="B997" t="n">
        <v>3597</v>
      </c>
      <c r="C997">
        <f>IF(B997='🎯 一鍵查詢'!$C$5,COUNTIF($B$2:B997,'🎯 一鍵查詢'!$C$5),"")</f>
        <v/>
      </c>
    </row>
    <row r="998">
      <c r="A998" t="n">
        <v>35981</v>
      </c>
      <c r="B998" t="n">
        <v>3598</v>
      </c>
      <c r="C998">
        <f>IF(B998='🎯 一鍵查詢'!$C$5,COUNTIF($B$2:B998,'🎯 一鍵查詢'!$C$5),"")</f>
        <v/>
      </c>
    </row>
    <row r="999">
      <c r="A999" t="n">
        <v>36051</v>
      </c>
      <c r="B999" t="n">
        <v>3605</v>
      </c>
      <c r="C999">
        <f>IF(B999='🎯 一鍵查詢'!$C$5,COUNTIF($B$2:B999,'🎯 一鍵查詢'!$C$5),"")</f>
        <v/>
      </c>
    </row>
    <row r="1000">
      <c r="A1000" t="n">
        <v>36052</v>
      </c>
      <c r="B1000" t="n">
        <v>3605</v>
      </c>
      <c r="C1000">
        <f>IF(B1000='🎯 一鍵查詢'!$C$5,COUNTIF($B$2:B1000,'🎯 一鍵查詢'!$C$5),"")</f>
        <v/>
      </c>
    </row>
    <row r="1001">
      <c r="A1001" t="n">
        <v>36053</v>
      </c>
      <c r="B1001" t="n">
        <v>3605</v>
      </c>
      <c r="C1001">
        <f>IF(B1001='🎯 一鍵查詢'!$C$5,COUNTIF($B$2:B1001,'🎯 一鍵查詢'!$C$5),"")</f>
        <v/>
      </c>
    </row>
    <row r="1002">
      <c r="A1002" t="n">
        <v>36071</v>
      </c>
      <c r="B1002" t="n">
        <v>3607</v>
      </c>
      <c r="C1002">
        <f>IF(B1002='🎯 一鍵查詢'!$C$5,COUNTIF($B$2:B1002,'🎯 一鍵查詢'!$C$5),"")</f>
        <v/>
      </c>
    </row>
    <row r="1003">
      <c r="A1003" t="n">
        <v>36072</v>
      </c>
      <c r="B1003" t="n">
        <v>3607</v>
      </c>
      <c r="C1003">
        <f>IF(B1003='🎯 一鍵查詢'!$C$5,COUNTIF($B$2:B1003,'🎯 一鍵查詢'!$C$5),"")</f>
        <v/>
      </c>
    </row>
    <row r="1004">
      <c r="A1004" t="n">
        <v>36091</v>
      </c>
      <c r="B1004" t="n">
        <v>3609</v>
      </c>
      <c r="C1004">
        <f>IF(B1004='🎯 一鍵查詢'!$C$5,COUNTIF($B$2:B1004,'🎯 一鍵查詢'!$C$5),"")</f>
        <v/>
      </c>
    </row>
    <row r="1005">
      <c r="A1005" t="n">
        <v>36111</v>
      </c>
      <c r="B1005" t="n">
        <v>3611</v>
      </c>
      <c r="C1005">
        <f>IF(B1005='🎯 一鍵查詢'!$C$5,COUNTIF($B$2:B1005,'🎯 一鍵查詢'!$C$5),"")</f>
        <v/>
      </c>
    </row>
    <row r="1006">
      <c r="A1006" t="n">
        <v>36171</v>
      </c>
      <c r="B1006" t="n">
        <v>3617</v>
      </c>
      <c r="C1006">
        <f>IF(B1006='🎯 一鍵查詢'!$C$5,COUNTIF($B$2:B1006,'🎯 一鍵查詢'!$C$5),"")</f>
        <v/>
      </c>
    </row>
    <row r="1007">
      <c r="A1007" t="n">
        <v>36172</v>
      </c>
      <c r="B1007" t="n">
        <v>3617</v>
      </c>
      <c r="C1007">
        <f>IF(B1007='🎯 一鍵查詢'!$C$5,COUNTIF($B$2:B1007,'🎯 一鍵查詢'!$C$5),"")</f>
        <v/>
      </c>
    </row>
    <row r="1008">
      <c r="A1008" t="n">
        <v>36173</v>
      </c>
      <c r="B1008" t="n">
        <v>3617</v>
      </c>
      <c r="C1008">
        <f>IF(B1008='🎯 一鍵查詢'!$C$5,COUNTIF($B$2:B1008,'🎯 一鍵查詢'!$C$5),"")</f>
        <v/>
      </c>
    </row>
    <row r="1009">
      <c r="A1009" t="n">
        <v>36251</v>
      </c>
      <c r="B1009" t="n">
        <v>3625</v>
      </c>
      <c r="C1009">
        <f>IF(B1009='🎯 一鍵查詢'!$C$5,COUNTIF($B$2:B1009,'🎯 一鍵查詢'!$C$5),"")</f>
        <v/>
      </c>
    </row>
    <row r="1010">
      <c r="A1010" t="n">
        <v>36252</v>
      </c>
      <c r="B1010" t="n">
        <v>3625</v>
      </c>
      <c r="C1010">
        <f>IF(B1010='🎯 一鍵查詢'!$C$5,COUNTIF($B$2:B1010,'🎯 一鍵查詢'!$C$5),"")</f>
        <v/>
      </c>
    </row>
    <row r="1011">
      <c r="A1011" t="n">
        <v>36253</v>
      </c>
      <c r="B1011" t="n">
        <v>3625</v>
      </c>
      <c r="C1011">
        <f>IF(B1011='🎯 一鍵查詢'!$C$5,COUNTIF($B$2:B1011,'🎯 一鍵查詢'!$C$5),"")</f>
        <v/>
      </c>
    </row>
    <row r="1012">
      <c r="A1012" t="n">
        <v>36291</v>
      </c>
      <c r="B1012" t="n">
        <v>3629</v>
      </c>
      <c r="C1012">
        <f>IF(B1012='🎯 一鍵查詢'!$C$5,COUNTIF($B$2:B1012,'🎯 一鍵查詢'!$C$5),"")</f>
        <v/>
      </c>
    </row>
    <row r="1013">
      <c r="A1013" t="n">
        <v>36311</v>
      </c>
      <c r="B1013" t="n">
        <v>3631</v>
      </c>
      <c r="C1013">
        <f>IF(B1013='🎯 一鍵查詢'!$C$5,COUNTIF($B$2:B1013,'🎯 一鍵查詢'!$C$5),"")</f>
        <v/>
      </c>
    </row>
    <row r="1014">
      <c r="A1014" t="n">
        <v>36312</v>
      </c>
      <c r="B1014" t="n">
        <v>3631</v>
      </c>
      <c r="C1014">
        <f>IF(B1014='🎯 一鍵查詢'!$C$5,COUNTIF($B$2:B1014,'🎯 一鍵查詢'!$C$5),"")</f>
        <v/>
      </c>
    </row>
    <row r="1015">
      <c r="A1015" t="n">
        <v>36313</v>
      </c>
      <c r="B1015" t="n">
        <v>3631</v>
      </c>
      <c r="C1015">
        <f>IF(B1015='🎯 一鍵查詢'!$C$5,COUNTIF($B$2:B1015,'🎯 一鍵查詢'!$C$5),"")</f>
        <v/>
      </c>
    </row>
    <row r="1016">
      <c r="A1016" t="n">
        <v>36321</v>
      </c>
      <c r="B1016" t="n">
        <v>3632</v>
      </c>
      <c r="C1016">
        <f>IF(B1016='🎯 一鍵查詢'!$C$5,COUNTIF($B$2:B1016,'🎯 一鍵查詢'!$C$5),"")</f>
        <v/>
      </c>
    </row>
    <row r="1017">
      <c r="A1017" t="n">
        <v>36322</v>
      </c>
      <c r="B1017" t="n">
        <v>3632</v>
      </c>
      <c r="C1017">
        <f>IF(B1017='🎯 一鍵查詢'!$C$5,COUNTIF($B$2:B1017,'🎯 一鍵查詢'!$C$5),"")</f>
        <v/>
      </c>
    </row>
    <row r="1018">
      <c r="A1018" t="n">
        <v>36451</v>
      </c>
      <c r="B1018" t="n">
        <v>3645</v>
      </c>
      <c r="C1018">
        <f>IF(B1018='🎯 一鍵查詢'!$C$5,COUNTIF($B$2:B1018,'🎯 一鍵查詢'!$C$5),"")</f>
        <v/>
      </c>
    </row>
    <row r="1019">
      <c r="A1019" t="n">
        <v>36531</v>
      </c>
      <c r="B1019" t="n">
        <v>3653</v>
      </c>
      <c r="C1019">
        <f>IF(B1019='🎯 一鍵查詢'!$C$5,COUNTIF($B$2:B1019,'🎯 一鍵查詢'!$C$5),"")</f>
        <v/>
      </c>
    </row>
    <row r="1020">
      <c r="A1020" t="n">
        <v>36532</v>
      </c>
      <c r="B1020" t="n">
        <v>3653</v>
      </c>
      <c r="C1020">
        <f>IF(B1020='🎯 一鍵查詢'!$C$5,COUNTIF($B$2:B1020,'🎯 一鍵查詢'!$C$5),"")</f>
        <v/>
      </c>
    </row>
    <row r="1021">
      <c r="A1021" t="n">
        <v>36533</v>
      </c>
      <c r="B1021" t="n">
        <v>3653</v>
      </c>
      <c r="C1021">
        <f>IF(B1021='🎯 一鍵查詢'!$C$5,COUNTIF($B$2:B1021,'🎯 一鍵查詢'!$C$5),"")</f>
        <v/>
      </c>
    </row>
    <row r="1022">
      <c r="A1022" t="n">
        <v>36534</v>
      </c>
      <c r="B1022" t="n">
        <v>3653</v>
      </c>
      <c r="C1022">
        <f>IF(B1022='🎯 一鍵查詢'!$C$5,COUNTIF($B$2:B1022,'🎯 一鍵查詢'!$C$5),"")</f>
        <v/>
      </c>
    </row>
    <row r="1023">
      <c r="A1023" t="n">
        <v>36535</v>
      </c>
      <c r="B1023" t="n">
        <v>3653</v>
      </c>
      <c r="C1023">
        <f>IF(B1023='🎯 一鍵查詢'!$C$5,COUNTIF($B$2:B1023,'🎯 一鍵查詢'!$C$5),"")</f>
        <v/>
      </c>
    </row>
    <row r="1024">
      <c r="A1024" t="n">
        <v>36621</v>
      </c>
      <c r="B1024" t="n">
        <v>3662</v>
      </c>
      <c r="C1024">
        <f>IF(B1024='🎯 一鍵查詢'!$C$5,COUNTIF($B$2:B1024,'🎯 一鍵查詢'!$C$5),"")</f>
        <v/>
      </c>
    </row>
    <row r="1025">
      <c r="A1025" t="n">
        <v>36622</v>
      </c>
      <c r="B1025" t="n">
        <v>3662</v>
      </c>
      <c r="C1025">
        <f>IF(B1025='🎯 一鍵查詢'!$C$5,COUNTIF($B$2:B1025,'🎯 一鍵查詢'!$C$5),"")</f>
        <v/>
      </c>
    </row>
    <row r="1026">
      <c r="A1026" t="n">
        <v>36623</v>
      </c>
      <c r="B1026" t="n">
        <v>3662</v>
      </c>
      <c r="C1026">
        <f>IF(B1026='🎯 一鍵查詢'!$C$5,COUNTIF($B$2:B1026,'🎯 一鍵查詢'!$C$5),"")</f>
        <v/>
      </c>
    </row>
    <row r="1027">
      <c r="A1027" t="n">
        <v>36624</v>
      </c>
      <c r="B1027" t="n">
        <v>3662</v>
      </c>
      <c r="C1027">
        <f>IF(B1027='🎯 一鍵查詢'!$C$5,COUNTIF($B$2:B1027,'🎯 一鍵查詢'!$C$5),"")</f>
        <v/>
      </c>
    </row>
    <row r="1028">
      <c r="A1028" t="n">
        <v>36625</v>
      </c>
      <c r="B1028" t="n">
        <v>3662</v>
      </c>
      <c r="C1028">
        <f>IF(B1028='🎯 一鍵查詢'!$C$5,COUNTIF($B$2:B1028,'🎯 一鍵查詢'!$C$5),"")</f>
        <v/>
      </c>
    </row>
    <row r="1029">
      <c r="A1029" t="n">
        <v>36626</v>
      </c>
      <c r="B1029" t="n">
        <v>3662</v>
      </c>
      <c r="C1029">
        <f>IF(B1029='🎯 一鍵查詢'!$C$5,COUNTIF($B$2:B1029,'🎯 一鍵查詢'!$C$5),"")</f>
        <v/>
      </c>
    </row>
    <row r="1030">
      <c r="A1030" t="n">
        <v>36631</v>
      </c>
      <c r="B1030" t="n">
        <v>3663</v>
      </c>
      <c r="C1030">
        <f>IF(B1030='🎯 一鍵查詢'!$C$5,COUNTIF($B$2:B1030,'🎯 一鍵查詢'!$C$5),"")</f>
        <v/>
      </c>
    </row>
    <row r="1031">
      <c r="A1031" t="n">
        <v>36632</v>
      </c>
      <c r="B1031" t="n">
        <v>3663</v>
      </c>
      <c r="C1031">
        <f>IF(B1031='🎯 一鍵查詢'!$C$5,COUNTIF($B$2:B1031,'🎯 一鍵查詢'!$C$5),"")</f>
        <v/>
      </c>
    </row>
    <row r="1032">
      <c r="A1032" t="n">
        <v>36633</v>
      </c>
      <c r="B1032" t="n">
        <v>3663</v>
      </c>
      <c r="C1032">
        <f>IF(B1032='🎯 一鍵查詢'!$C$5,COUNTIF($B$2:B1032,'🎯 一鍵查詢'!$C$5),"")</f>
        <v/>
      </c>
    </row>
    <row r="1033">
      <c r="A1033" t="n">
        <v>36651</v>
      </c>
      <c r="B1033" t="n">
        <v>3665</v>
      </c>
      <c r="C1033">
        <f>IF(B1033='🎯 一鍵查詢'!$C$5,COUNTIF($B$2:B1033,'🎯 一鍵查詢'!$C$5),"")</f>
        <v/>
      </c>
    </row>
    <row r="1034">
      <c r="A1034" t="n">
        <v>36652</v>
      </c>
      <c r="B1034" t="n">
        <v>3665</v>
      </c>
      <c r="C1034">
        <f>IF(B1034='🎯 一鍵查詢'!$C$5,COUNTIF($B$2:B1034,'🎯 一鍵查詢'!$C$5),"")</f>
        <v/>
      </c>
    </row>
    <row r="1035">
      <c r="A1035" t="n">
        <v>36801</v>
      </c>
      <c r="B1035" t="n">
        <v>3680</v>
      </c>
      <c r="C1035">
        <f>IF(B1035='🎯 一鍵查詢'!$C$5,COUNTIF($B$2:B1035,'🎯 一鍵查詢'!$C$5),"")</f>
        <v/>
      </c>
    </row>
    <row r="1036">
      <c r="A1036" t="n">
        <v>36802</v>
      </c>
      <c r="B1036" t="n">
        <v>3680</v>
      </c>
      <c r="C1036">
        <f>IF(B1036='🎯 一鍵查詢'!$C$5,COUNTIF($B$2:B1036,'🎯 一鍵查詢'!$C$5),"")</f>
        <v/>
      </c>
    </row>
    <row r="1037">
      <c r="A1037" t="n">
        <v>36803</v>
      </c>
      <c r="B1037" t="n">
        <v>3680</v>
      </c>
      <c r="C1037">
        <f>IF(B1037='🎯 一鍵查詢'!$C$5,COUNTIF($B$2:B1037,'🎯 一鍵查詢'!$C$5),"")</f>
        <v/>
      </c>
    </row>
    <row r="1038">
      <c r="A1038" t="n">
        <v>36804</v>
      </c>
      <c r="B1038" t="n">
        <v>3680</v>
      </c>
      <c r="C1038">
        <f>IF(B1038='🎯 一鍵查詢'!$C$5,COUNTIF($B$2:B1038,'🎯 一鍵查詢'!$C$5),"")</f>
        <v/>
      </c>
    </row>
    <row r="1039">
      <c r="A1039" t="n">
        <v>36841</v>
      </c>
      <c r="B1039" t="n">
        <v>3684</v>
      </c>
      <c r="C1039">
        <f>IF(B1039='🎯 一鍵查詢'!$C$5,COUNTIF($B$2:B1039,'🎯 一鍵查詢'!$C$5),"")</f>
        <v/>
      </c>
    </row>
    <row r="1040">
      <c r="A1040" t="n">
        <v>36871</v>
      </c>
      <c r="B1040" t="n">
        <v>3687</v>
      </c>
      <c r="C1040">
        <f>IF(B1040='🎯 一鍵查詢'!$C$5,COUNTIF($B$2:B1040,'🎯 一鍵查詢'!$C$5),"")</f>
        <v/>
      </c>
    </row>
    <row r="1041">
      <c r="A1041" t="n">
        <v>36872</v>
      </c>
      <c r="B1041" t="n">
        <v>3687</v>
      </c>
      <c r="C1041">
        <f>IF(B1041='🎯 一鍵查詢'!$C$5,COUNTIF($B$2:B1041,'🎯 一鍵查詢'!$C$5),"")</f>
        <v/>
      </c>
    </row>
    <row r="1042">
      <c r="A1042" t="n">
        <v>36873</v>
      </c>
      <c r="B1042" t="n">
        <v>3687</v>
      </c>
      <c r="C1042">
        <f>IF(B1042='🎯 一鍵查詢'!$C$5,COUNTIF($B$2:B1042,'🎯 一鍵查詢'!$C$5),"")</f>
        <v/>
      </c>
    </row>
    <row r="1043">
      <c r="A1043" t="n">
        <v>36891</v>
      </c>
      <c r="B1043" t="n">
        <v>3689</v>
      </c>
      <c r="C1043">
        <f>IF(B1043='🎯 一鍵查詢'!$C$5,COUNTIF($B$2:B1043,'🎯 一鍵查詢'!$C$5),"")</f>
        <v/>
      </c>
    </row>
    <row r="1044">
      <c r="A1044" t="n">
        <v>36892</v>
      </c>
      <c r="B1044" t="n">
        <v>3689</v>
      </c>
      <c r="C1044">
        <f>IF(B1044='🎯 一鍵查詢'!$C$5,COUNTIF($B$2:B1044,'🎯 一鍵查詢'!$C$5),"")</f>
        <v/>
      </c>
    </row>
    <row r="1045">
      <c r="A1045" t="n">
        <v>36893</v>
      </c>
      <c r="B1045" t="n">
        <v>3689</v>
      </c>
      <c r="C1045">
        <f>IF(B1045='🎯 一鍵查詢'!$C$5,COUNTIF($B$2:B1045,'🎯 一鍵查詢'!$C$5),"")</f>
        <v/>
      </c>
    </row>
    <row r="1046">
      <c r="A1046" t="n">
        <v>36894</v>
      </c>
      <c r="B1046" t="n">
        <v>3689</v>
      </c>
      <c r="C1046">
        <f>IF(B1046='🎯 一鍵查詢'!$C$5,COUNTIF($B$2:B1046,'🎯 一鍵查詢'!$C$5),"")</f>
        <v/>
      </c>
    </row>
    <row r="1047">
      <c r="A1047" t="n">
        <v>36911</v>
      </c>
      <c r="B1047" t="n">
        <v>3691</v>
      </c>
      <c r="C1047">
        <f>IF(B1047='🎯 一鍵查詢'!$C$5,COUNTIF($B$2:B1047,'🎯 一鍵查詢'!$C$5),"")</f>
        <v/>
      </c>
    </row>
    <row r="1048">
      <c r="A1048" t="n">
        <v>36912</v>
      </c>
      <c r="B1048" t="n">
        <v>3691</v>
      </c>
      <c r="C1048">
        <f>IF(B1048='🎯 一鍵查詢'!$C$5,COUNTIF($B$2:B1048,'🎯 一鍵查詢'!$C$5),"")</f>
        <v/>
      </c>
    </row>
    <row r="1049">
      <c r="A1049" t="n">
        <v>36913</v>
      </c>
      <c r="B1049" t="n">
        <v>3691</v>
      </c>
      <c r="C1049">
        <f>IF(B1049='🎯 一鍵查詢'!$C$5,COUNTIF($B$2:B1049,'🎯 一鍵查詢'!$C$5),"")</f>
        <v/>
      </c>
    </row>
    <row r="1050">
      <c r="A1050" t="n">
        <v>36931</v>
      </c>
      <c r="B1050" t="n">
        <v>3693</v>
      </c>
      <c r="C1050">
        <f>IF(B1050='🎯 一鍵查詢'!$C$5,COUNTIF($B$2:B1050,'🎯 一鍵查詢'!$C$5),"")</f>
        <v/>
      </c>
    </row>
    <row r="1051">
      <c r="A1051" t="n">
        <v>36981</v>
      </c>
      <c r="B1051" t="n">
        <v>3698</v>
      </c>
      <c r="C1051">
        <f>IF(B1051='🎯 一鍵查詢'!$C$5,COUNTIF($B$2:B1051,'🎯 一鍵查詢'!$C$5),"")</f>
        <v/>
      </c>
    </row>
    <row r="1052">
      <c r="A1052" t="n">
        <v>36982</v>
      </c>
      <c r="B1052" t="n">
        <v>3698</v>
      </c>
      <c r="C1052">
        <f>IF(B1052='🎯 一鍵查詢'!$C$5,COUNTIF($B$2:B1052,'🎯 一鍵查詢'!$C$5),"")</f>
        <v/>
      </c>
    </row>
    <row r="1053">
      <c r="A1053" t="n">
        <v>37011</v>
      </c>
      <c r="B1053" t="n">
        <v>3701</v>
      </c>
      <c r="C1053">
        <f>IF(B1053='🎯 一鍵查詢'!$C$5,COUNTIF($B$2:B1053,'🎯 一鍵查詢'!$C$5),"")</f>
        <v/>
      </c>
    </row>
    <row r="1054">
      <c r="A1054" t="n">
        <v>37012</v>
      </c>
      <c r="B1054" t="n">
        <v>3701</v>
      </c>
      <c r="C1054">
        <f>IF(B1054='🎯 一鍵查詢'!$C$5,COUNTIF($B$2:B1054,'🎯 一鍵查詢'!$C$5),"")</f>
        <v/>
      </c>
    </row>
    <row r="1055">
      <c r="A1055" t="n">
        <v>37021</v>
      </c>
      <c r="B1055" t="n">
        <v>3702</v>
      </c>
      <c r="C1055">
        <f>IF(B1055='🎯 一鍵查詢'!$C$5,COUNTIF($B$2:B1055,'🎯 一鍵查詢'!$C$5),"")</f>
        <v/>
      </c>
    </row>
    <row r="1056">
      <c r="A1056" t="n">
        <v>37022</v>
      </c>
      <c r="B1056" t="n">
        <v>3702</v>
      </c>
      <c r="C1056">
        <f>IF(B1056='🎯 一鍵查詢'!$C$5,COUNTIF($B$2:B1056,'🎯 一鍵查詢'!$C$5),"")</f>
        <v/>
      </c>
    </row>
    <row r="1057">
      <c r="A1057" t="n">
        <v>37023</v>
      </c>
      <c r="B1057" t="n">
        <v>3702</v>
      </c>
      <c r="C1057">
        <f>IF(B1057='🎯 一鍵查詢'!$C$5,COUNTIF($B$2:B1057,'🎯 一鍵查詢'!$C$5),"")</f>
        <v/>
      </c>
    </row>
    <row r="1058">
      <c r="A1058" t="n">
        <v>37063</v>
      </c>
      <c r="B1058" t="n">
        <v>3706</v>
      </c>
      <c r="C1058">
        <f>IF(B1058='🎯 一鍵查詢'!$C$5,COUNTIF($B$2:B1058,'🎯 一鍵查詢'!$C$5),"")</f>
        <v/>
      </c>
    </row>
    <row r="1059">
      <c r="A1059" t="n">
        <v>37071</v>
      </c>
      <c r="B1059" t="n">
        <v>3707</v>
      </c>
      <c r="C1059">
        <f>IF(B1059='🎯 一鍵查詢'!$C$5,COUNTIF($B$2:B1059,'🎯 一鍵查詢'!$C$5),"")</f>
        <v/>
      </c>
    </row>
    <row r="1060">
      <c r="A1060" t="n">
        <v>37072</v>
      </c>
      <c r="B1060" t="n">
        <v>3707</v>
      </c>
      <c r="C1060">
        <f>IF(B1060='🎯 一鍵查詢'!$C$5,COUNTIF($B$2:B1060,'🎯 一鍵查詢'!$C$5),"")</f>
        <v/>
      </c>
    </row>
    <row r="1061">
      <c r="A1061" t="n">
        <v>37073</v>
      </c>
      <c r="B1061" t="n">
        <v>3707</v>
      </c>
      <c r="C1061">
        <f>IF(B1061='🎯 一鍵查詢'!$C$5,COUNTIF($B$2:B1061,'🎯 一鍵查詢'!$C$5),"")</f>
        <v/>
      </c>
    </row>
    <row r="1062">
      <c r="A1062" t="n">
        <v>37074</v>
      </c>
      <c r="B1062" t="n">
        <v>3707</v>
      </c>
      <c r="C1062">
        <f>IF(B1062='🎯 一鍵查詢'!$C$5,COUNTIF($B$2:B1062,'🎯 一鍵查詢'!$C$5),"")</f>
        <v/>
      </c>
    </row>
    <row r="1063">
      <c r="A1063" t="n">
        <v>37075</v>
      </c>
      <c r="B1063" t="n">
        <v>3707</v>
      </c>
      <c r="C1063">
        <f>IF(B1063='🎯 一鍵查詢'!$C$5,COUNTIF($B$2:B1063,'🎯 一鍵查詢'!$C$5),"")</f>
        <v/>
      </c>
    </row>
    <row r="1064">
      <c r="A1064" t="n">
        <v>37081</v>
      </c>
      <c r="B1064" t="n">
        <v>3708</v>
      </c>
      <c r="C1064">
        <f>IF(B1064='🎯 一鍵查詢'!$C$5,COUNTIF($B$2:B1064,'🎯 一鍵查詢'!$C$5),"")</f>
        <v/>
      </c>
    </row>
    <row r="1065">
      <c r="A1065" t="n">
        <v>37082</v>
      </c>
      <c r="B1065" t="n">
        <v>3708</v>
      </c>
      <c r="C1065">
        <f>IF(B1065='🎯 一鍵查詢'!$C$5,COUNTIF($B$2:B1065,'🎯 一鍵查詢'!$C$5),"")</f>
        <v/>
      </c>
    </row>
    <row r="1066">
      <c r="A1066" t="n">
        <v>37083</v>
      </c>
      <c r="B1066" t="n">
        <v>3708</v>
      </c>
      <c r="C1066">
        <f>IF(B1066='🎯 一鍵查詢'!$C$5,COUNTIF($B$2:B1066,'🎯 一鍵查詢'!$C$5),"")</f>
        <v/>
      </c>
    </row>
    <row r="1067">
      <c r="A1067" t="n">
        <v>37084</v>
      </c>
      <c r="B1067" t="n">
        <v>3708</v>
      </c>
      <c r="C1067">
        <f>IF(B1067='🎯 一鍵查詢'!$C$5,COUNTIF($B$2:B1067,'🎯 一鍵查詢'!$C$5),"")</f>
        <v/>
      </c>
    </row>
    <row r="1068">
      <c r="A1068" t="n">
        <v>37101</v>
      </c>
      <c r="B1068" t="n">
        <v>3710</v>
      </c>
      <c r="C1068">
        <f>IF(B1068='🎯 一鍵查詢'!$C$5,COUNTIF($B$2:B1068,'🎯 一鍵查詢'!$C$5),"")</f>
        <v/>
      </c>
    </row>
    <row r="1069">
      <c r="A1069" t="n">
        <v>37131</v>
      </c>
      <c r="B1069" t="n">
        <v>3713</v>
      </c>
      <c r="C1069">
        <f>IF(B1069='🎯 一鍵查詢'!$C$5,COUNTIF($B$2:B1069,'🎯 一鍵查詢'!$C$5),"")</f>
        <v/>
      </c>
    </row>
    <row r="1070">
      <c r="A1070" t="n">
        <v>37151</v>
      </c>
      <c r="B1070" t="n">
        <v>3715</v>
      </c>
      <c r="C1070">
        <f>IF(B1070='🎯 一鍵查詢'!$C$5,COUNTIF($B$2:B1070,'🎯 一鍵查詢'!$C$5),"")</f>
        <v/>
      </c>
    </row>
    <row r="1071">
      <c r="A1071" t="n">
        <v>37152</v>
      </c>
      <c r="B1071" t="n">
        <v>3715</v>
      </c>
      <c r="C1071">
        <f>IF(B1071='🎯 一鍵查詢'!$C$5,COUNTIF($B$2:B1071,'🎯 一鍵查詢'!$C$5),"")</f>
        <v/>
      </c>
    </row>
    <row r="1072">
      <c r="A1072" t="n">
        <v>37171</v>
      </c>
      <c r="B1072" t="n">
        <v>3717</v>
      </c>
      <c r="C1072">
        <f>IF(B1072='🎯 一鍵查詢'!$C$5,COUNTIF($B$2:B1072,'🎯 一鍵查詢'!$C$5),"")</f>
        <v/>
      </c>
    </row>
    <row r="1073">
      <c r="A1073" t="n">
        <v>41031</v>
      </c>
      <c r="B1073" t="n">
        <v>4103</v>
      </c>
      <c r="C1073">
        <f>IF(B1073='🎯 一鍵查詢'!$C$5,COUNTIF($B$2:B1073,'🎯 一鍵查詢'!$C$5),"")</f>
        <v/>
      </c>
    </row>
    <row r="1074">
      <c r="A1074" t="n">
        <v>41041</v>
      </c>
      <c r="B1074" t="n">
        <v>4104</v>
      </c>
      <c r="C1074">
        <f>IF(B1074='🎯 一鍵查詢'!$C$5,COUNTIF($B$2:B1074,'🎯 一鍵查詢'!$C$5),"")</f>
        <v/>
      </c>
    </row>
    <row r="1075">
      <c r="A1075" t="n">
        <v>41042</v>
      </c>
      <c r="B1075" t="n">
        <v>4104</v>
      </c>
      <c r="C1075">
        <f>IF(B1075='🎯 一鍵查詢'!$C$5,COUNTIF($B$2:B1075,'🎯 一鍵查詢'!$C$5),"")</f>
        <v/>
      </c>
    </row>
    <row r="1076">
      <c r="A1076" t="n">
        <v>41043</v>
      </c>
      <c r="B1076" t="n">
        <v>4104</v>
      </c>
      <c r="C1076">
        <f>IF(B1076='🎯 一鍵查詢'!$C$5,COUNTIF($B$2:B1076,'🎯 一鍵查詢'!$C$5),"")</f>
        <v/>
      </c>
    </row>
    <row r="1077">
      <c r="A1077" t="n">
        <v>41044</v>
      </c>
      <c r="B1077" t="n">
        <v>4104</v>
      </c>
      <c r="C1077">
        <f>IF(B1077='🎯 一鍵查詢'!$C$5,COUNTIF($B$2:B1077,'🎯 一鍵查詢'!$C$5),"")</f>
        <v/>
      </c>
    </row>
    <row r="1078">
      <c r="A1078" t="n">
        <v>41045</v>
      </c>
      <c r="B1078" t="n">
        <v>4104</v>
      </c>
      <c r="C1078">
        <f>IF(B1078='🎯 一鍵查詢'!$C$5,COUNTIF($B$2:B1078,'🎯 一鍵查詢'!$C$5),"")</f>
        <v/>
      </c>
    </row>
    <row r="1079">
      <c r="A1079" t="n">
        <v>41051</v>
      </c>
      <c r="B1079" t="n">
        <v>4105</v>
      </c>
      <c r="C1079">
        <f>IF(B1079='🎯 一鍵查詢'!$C$5,COUNTIF($B$2:B1079,'🎯 一鍵查詢'!$C$5),"")</f>
        <v/>
      </c>
    </row>
    <row r="1080">
      <c r="A1080" t="n">
        <v>41052</v>
      </c>
      <c r="B1080" t="n">
        <v>4105</v>
      </c>
      <c r="C1080">
        <f>IF(B1080='🎯 一鍵查詢'!$C$5,COUNTIF($B$2:B1080,'🎯 一鍵查詢'!$C$5),"")</f>
        <v/>
      </c>
    </row>
    <row r="1081">
      <c r="A1081" t="n">
        <v>41061</v>
      </c>
      <c r="B1081" t="n">
        <v>4106</v>
      </c>
      <c r="C1081">
        <f>IF(B1081='🎯 一鍵查詢'!$C$5,COUNTIF($B$2:B1081,'🎯 一鍵查詢'!$C$5),"")</f>
        <v/>
      </c>
    </row>
    <row r="1082">
      <c r="A1082" t="n">
        <v>41071</v>
      </c>
      <c r="B1082" t="n">
        <v>4107</v>
      </c>
      <c r="C1082">
        <f>IF(B1082='🎯 一鍵查詢'!$C$5,COUNTIF($B$2:B1082,'🎯 一鍵查詢'!$C$5),"")</f>
        <v/>
      </c>
    </row>
    <row r="1083">
      <c r="A1083" t="n">
        <v>41072</v>
      </c>
      <c r="B1083" t="n">
        <v>4107</v>
      </c>
      <c r="C1083">
        <f>IF(B1083='🎯 一鍵查詢'!$C$5,COUNTIF($B$2:B1083,'🎯 一鍵查詢'!$C$5),"")</f>
        <v/>
      </c>
    </row>
    <row r="1084">
      <c r="A1084" t="n">
        <v>41091</v>
      </c>
      <c r="B1084" t="n">
        <v>4109</v>
      </c>
      <c r="C1084">
        <f>IF(B1084='🎯 一鍵查詢'!$C$5,COUNTIF($B$2:B1084,'🎯 一鍵查詢'!$C$5),"")</f>
        <v/>
      </c>
    </row>
    <row r="1085">
      <c r="A1085" t="n">
        <v>41092</v>
      </c>
      <c r="B1085" t="n">
        <v>4109</v>
      </c>
      <c r="C1085">
        <f>IF(B1085='🎯 一鍵查詢'!$C$5,COUNTIF($B$2:B1085,'🎯 一鍵查詢'!$C$5),"")</f>
        <v/>
      </c>
    </row>
    <row r="1086">
      <c r="A1086" t="n">
        <v>41093</v>
      </c>
      <c r="B1086" t="n">
        <v>4109</v>
      </c>
      <c r="C1086">
        <f>IF(B1086='🎯 一鍵查詢'!$C$5,COUNTIF($B$2:B1086,'🎯 一鍵查詢'!$C$5),"")</f>
        <v/>
      </c>
    </row>
    <row r="1087">
      <c r="A1087" t="n">
        <v>41111</v>
      </c>
      <c r="B1087" t="n">
        <v>4111</v>
      </c>
      <c r="C1087">
        <f>IF(B1087='🎯 一鍵查詢'!$C$5,COUNTIF($B$2:B1087,'🎯 一鍵查詢'!$C$5),"")</f>
        <v/>
      </c>
    </row>
    <row r="1088">
      <c r="A1088" t="n">
        <v>41131</v>
      </c>
      <c r="B1088" t="n">
        <v>4113</v>
      </c>
      <c r="C1088">
        <f>IF(B1088='🎯 一鍵查詢'!$C$5,COUNTIF($B$2:B1088,'🎯 一鍵查詢'!$C$5),"")</f>
        <v/>
      </c>
    </row>
    <row r="1089">
      <c r="A1089" t="n">
        <v>41132</v>
      </c>
      <c r="B1089" t="n">
        <v>4113</v>
      </c>
      <c r="C1089">
        <f>IF(B1089='🎯 一鍵查詢'!$C$5,COUNTIF($B$2:B1089,'🎯 一鍵查詢'!$C$5),"")</f>
        <v/>
      </c>
    </row>
    <row r="1090">
      <c r="A1090" t="n">
        <v>41133</v>
      </c>
      <c r="B1090" t="n">
        <v>4113</v>
      </c>
      <c r="C1090">
        <f>IF(B1090='🎯 一鍵查詢'!$C$5,COUNTIF($B$2:B1090,'🎯 一鍵查詢'!$C$5),"")</f>
        <v/>
      </c>
    </row>
    <row r="1091">
      <c r="A1091" t="n">
        <v>41134</v>
      </c>
      <c r="B1091" t="n">
        <v>4113</v>
      </c>
      <c r="C1091">
        <f>IF(B1091='🎯 一鍵查詢'!$C$5,COUNTIF($B$2:B1091,'🎯 一鍵查詢'!$C$5),"")</f>
        <v/>
      </c>
    </row>
    <row r="1092">
      <c r="A1092" t="n">
        <v>41135</v>
      </c>
      <c r="B1092" t="n">
        <v>4113</v>
      </c>
      <c r="C1092">
        <f>IF(B1092='🎯 一鍵查詢'!$C$5,COUNTIF($B$2:B1092,'🎯 一鍵查詢'!$C$5),"")</f>
        <v/>
      </c>
    </row>
    <row r="1093">
      <c r="A1093" t="n">
        <v>41136</v>
      </c>
      <c r="B1093" t="n">
        <v>4113</v>
      </c>
      <c r="C1093">
        <f>IF(B1093='🎯 一鍵查詢'!$C$5,COUNTIF($B$2:B1093,'🎯 一鍵查詢'!$C$5),"")</f>
        <v/>
      </c>
    </row>
    <row r="1094">
      <c r="A1094" t="n">
        <v>41141</v>
      </c>
      <c r="B1094" t="n">
        <v>4114</v>
      </c>
      <c r="C1094">
        <f>IF(B1094='🎯 一鍵查詢'!$C$5,COUNTIF($B$2:B1094,'🎯 一鍵查詢'!$C$5),"")</f>
        <v/>
      </c>
    </row>
    <row r="1095">
      <c r="A1095" t="n">
        <v>41142</v>
      </c>
      <c r="B1095" t="n">
        <v>4114</v>
      </c>
      <c r="C1095">
        <f>IF(B1095='🎯 一鍵查詢'!$C$5,COUNTIF($B$2:B1095,'🎯 一鍵查詢'!$C$5),"")</f>
        <v/>
      </c>
    </row>
    <row r="1096">
      <c r="A1096" t="n">
        <v>41143</v>
      </c>
      <c r="B1096" t="n">
        <v>4114</v>
      </c>
      <c r="C1096">
        <f>IF(B1096='🎯 一鍵查詢'!$C$5,COUNTIF($B$2:B1096,'🎯 一鍵查詢'!$C$5),"")</f>
        <v/>
      </c>
    </row>
    <row r="1097">
      <c r="A1097" t="n">
        <v>41144</v>
      </c>
      <c r="B1097" t="n">
        <v>4114</v>
      </c>
      <c r="C1097">
        <f>IF(B1097='🎯 一鍵查詢'!$C$5,COUNTIF($B$2:B1097,'🎯 一鍵查詢'!$C$5),"")</f>
        <v/>
      </c>
    </row>
    <row r="1098">
      <c r="A1098" t="n">
        <v>41145</v>
      </c>
      <c r="B1098" t="n">
        <v>4114</v>
      </c>
      <c r="C1098">
        <f>IF(B1098='🎯 一鍵查詢'!$C$5,COUNTIF($B$2:B1098,'🎯 一鍵查詢'!$C$5),"")</f>
        <v/>
      </c>
    </row>
    <row r="1099">
      <c r="A1099" t="n">
        <v>41191</v>
      </c>
      <c r="B1099" t="n">
        <v>4119</v>
      </c>
      <c r="C1099">
        <f>IF(B1099='🎯 一鍵查詢'!$C$5,COUNTIF($B$2:B1099,'🎯 一鍵查詢'!$C$5),"")</f>
        <v/>
      </c>
    </row>
    <row r="1100">
      <c r="A1100" t="n">
        <v>41201</v>
      </c>
      <c r="B1100" t="n">
        <v>4120</v>
      </c>
      <c r="C1100">
        <f>IF(B1100='🎯 一鍵查詢'!$C$5,COUNTIF($B$2:B1100,'🎯 一鍵查詢'!$C$5),"")</f>
        <v/>
      </c>
    </row>
    <row r="1101">
      <c r="A1101" t="n">
        <v>41202</v>
      </c>
      <c r="B1101" t="n">
        <v>4120</v>
      </c>
      <c r="C1101">
        <f>IF(B1101='🎯 一鍵查詢'!$C$5,COUNTIF($B$2:B1101,'🎯 一鍵查詢'!$C$5),"")</f>
        <v/>
      </c>
    </row>
    <row r="1102">
      <c r="A1102" t="n">
        <v>41211</v>
      </c>
      <c r="B1102" t="n">
        <v>4121</v>
      </c>
      <c r="C1102">
        <f>IF(B1102='🎯 一鍵查詢'!$C$5,COUNTIF($B$2:B1102,'🎯 一鍵查詢'!$C$5),"")</f>
        <v/>
      </c>
    </row>
    <row r="1103">
      <c r="A1103" t="n">
        <v>41212</v>
      </c>
      <c r="B1103" t="n">
        <v>4121</v>
      </c>
      <c r="C1103">
        <f>IF(B1103='🎯 一鍵查詢'!$C$5,COUNTIF($B$2:B1103,'🎯 一鍵查詢'!$C$5),"")</f>
        <v/>
      </c>
    </row>
    <row r="1104">
      <c r="A1104" t="n">
        <v>41231</v>
      </c>
      <c r="B1104" t="n">
        <v>4123</v>
      </c>
      <c r="C1104">
        <f>IF(B1104='🎯 一鍵查詢'!$C$5,COUNTIF($B$2:B1104,'🎯 一鍵查詢'!$C$5),"")</f>
        <v/>
      </c>
    </row>
    <row r="1105">
      <c r="A1105" t="n">
        <v>41232</v>
      </c>
      <c r="B1105" t="n">
        <v>4123</v>
      </c>
      <c r="C1105">
        <f>IF(B1105='🎯 一鍵查詢'!$C$5,COUNTIF($B$2:B1105,'🎯 一鍵查詢'!$C$5),"")</f>
        <v/>
      </c>
    </row>
    <row r="1106">
      <c r="A1106" t="n">
        <v>41233</v>
      </c>
      <c r="B1106" t="n">
        <v>4123</v>
      </c>
      <c r="C1106">
        <f>IF(B1106='🎯 一鍵查詢'!$C$5,COUNTIF($B$2:B1106,'🎯 一鍵查詢'!$C$5),"")</f>
        <v/>
      </c>
    </row>
    <row r="1107">
      <c r="A1107" t="n">
        <v>41234</v>
      </c>
      <c r="B1107" t="n">
        <v>4123</v>
      </c>
      <c r="C1107">
        <f>IF(B1107='🎯 一鍵查詢'!$C$5,COUNTIF($B$2:B1107,'🎯 一鍵查詢'!$C$5),"")</f>
        <v/>
      </c>
    </row>
    <row r="1108">
      <c r="A1108" t="n">
        <v>41235</v>
      </c>
      <c r="B1108" t="n">
        <v>4123</v>
      </c>
      <c r="C1108">
        <f>IF(B1108='🎯 一鍵查詢'!$C$5,COUNTIF($B$2:B1108,'🎯 一鍵查詢'!$C$5),"")</f>
        <v/>
      </c>
    </row>
    <row r="1109">
      <c r="A1109" t="n">
        <v>41236</v>
      </c>
      <c r="B1109" t="n">
        <v>4123</v>
      </c>
      <c r="C1109">
        <f>IF(B1109='🎯 一鍵查詢'!$C$5,COUNTIF($B$2:B1109,'🎯 一鍵查詢'!$C$5),"")</f>
        <v/>
      </c>
    </row>
    <row r="1110">
      <c r="A1110" t="n">
        <v>41237</v>
      </c>
      <c r="B1110" t="n">
        <v>4123</v>
      </c>
      <c r="C1110">
        <f>IF(B1110='🎯 一鍵查詢'!$C$5,COUNTIF($B$2:B1110,'🎯 一鍵查詢'!$C$5),"")</f>
        <v/>
      </c>
    </row>
    <row r="1111">
      <c r="A1111" t="n">
        <v>41261</v>
      </c>
      <c r="B1111" t="n">
        <v>4126</v>
      </c>
      <c r="C1111">
        <f>IF(B1111='🎯 一鍵查詢'!$C$5,COUNTIF($B$2:B1111,'🎯 一鍵查詢'!$C$5),"")</f>
        <v/>
      </c>
    </row>
    <row r="1112">
      <c r="A1112" t="n">
        <v>41262</v>
      </c>
      <c r="B1112" t="n">
        <v>4126</v>
      </c>
      <c r="C1112">
        <f>IF(B1112='🎯 一鍵查詢'!$C$5,COUNTIF($B$2:B1112,'🎯 一鍵查詢'!$C$5),"")</f>
        <v/>
      </c>
    </row>
    <row r="1113">
      <c r="A1113" t="n">
        <v>41281</v>
      </c>
      <c r="B1113" t="n">
        <v>4128</v>
      </c>
      <c r="C1113">
        <f>IF(B1113='🎯 一鍵查詢'!$C$5,COUNTIF($B$2:B1113,'🎯 一鍵查詢'!$C$5),"")</f>
        <v/>
      </c>
    </row>
    <row r="1114">
      <c r="A1114" t="n">
        <v>41291</v>
      </c>
      <c r="B1114" t="n">
        <v>4129</v>
      </c>
      <c r="C1114">
        <f>IF(B1114='🎯 一鍵查詢'!$C$5,COUNTIF($B$2:B1114,'🎯 一鍵查詢'!$C$5),"")</f>
        <v/>
      </c>
    </row>
    <row r="1115">
      <c r="A1115" t="n">
        <v>41292</v>
      </c>
      <c r="B1115" t="n">
        <v>4129</v>
      </c>
      <c r="C1115">
        <f>IF(B1115='🎯 一鍵查詢'!$C$5,COUNTIF($B$2:B1115,'🎯 一鍵查詢'!$C$5),"")</f>
        <v/>
      </c>
    </row>
    <row r="1116">
      <c r="A1116" t="n">
        <v>41293</v>
      </c>
      <c r="B1116" t="n">
        <v>4129</v>
      </c>
      <c r="C1116">
        <f>IF(B1116='🎯 一鍵查詢'!$C$5,COUNTIF($B$2:B1116,'🎯 一鍵查詢'!$C$5),"")</f>
        <v/>
      </c>
    </row>
    <row r="1117">
      <c r="A1117" t="n">
        <v>41294</v>
      </c>
      <c r="B1117" t="n">
        <v>4129</v>
      </c>
      <c r="C1117">
        <f>IF(B1117='🎯 一鍵查詢'!$C$5,COUNTIF($B$2:B1117,'🎯 一鍵查詢'!$C$5),"")</f>
        <v/>
      </c>
    </row>
    <row r="1118">
      <c r="A1118" t="n">
        <v>41295</v>
      </c>
      <c r="B1118" t="n">
        <v>4129</v>
      </c>
      <c r="C1118">
        <f>IF(B1118='🎯 一鍵查詢'!$C$5,COUNTIF($B$2:B1118,'🎯 一鍵查詢'!$C$5),"")</f>
        <v/>
      </c>
    </row>
    <row r="1119">
      <c r="A1119" t="n">
        <v>41301</v>
      </c>
      <c r="B1119" t="n">
        <v>4130</v>
      </c>
      <c r="C1119">
        <f>IF(B1119='🎯 一鍵查詢'!$C$5,COUNTIF($B$2:B1119,'🎯 一鍵查詢'!$C$5),"")</f>
        <v/>
      </c>
    </row>
    <row r="1120">
      <c r="A1120" t="n">
        <v>41311</v>
      </c>
      <c r="B1120" t="n">
        <v>4131</v>
      </c>
      <c r="C1120">
        <f>IF(B1120='🎯 一鍵查詢'!$C$5,COUNTIF($B$2:B1120,'🎯 一鍵查詢'!$C$5),"")</f>
        <v/>
      </c>
    </row>
    <row r="1121">
      <c r="A1121" t="n">
        <v>41371</v>
      </c>
      <c r="B1121" t="n">
        <v>4137</v>
      </c>
      <c r="C1121">
        <f>IF(B1121='🎯 一鍵查詢'!$C$5,COUNTIF($B$2:B1121,'🎯 一鍵查詢'!$C$5),"")</f>
        <v/>
      </c>
    </row>
    <row r="1122">
      <c r="A1122" t="n">
        <v>41372</v>
      </c>
      <c r="B1122" t="n">
        <v>4137</v>
      </c>
      <c r="C1122">
        <f>IF(B1122='🎯 一鍵查詢'!$C$5,COUNTIF($B$2:B1122,'🎯 一鍵查詢'!$C$5),"")</f>
        <v/>
      </c>
    </row>
    <row r="1123">
      <c r="A1123" t="n">
        <v>41381</v>
      </c>
      <c r="B1123" t="n">
        <v>4138</v>
      </c>
      <c r="C1123">
        <f>IF(B1123='🎯 一鍵查詢'!$C$5,COUNTIF($B$2:B1123,'🎯 一鍵查詢'!$C$5),"")</f>
        <v/>
      </c>
    </row>
    <row r="1124">
      <c r="A1124" t="n">
        <v>41382</v>
      </c>
      <c r="B1124" t="n">
        <v>4138</v>
      </c>
      <c r="C1124">
        <f>IF(B1124='🎯 一鍵查詢'!$C$5,COUNTIF($B$2:B1124,'🎯 一鍵查詢'!$C$5),"")</f>
        <v/>
      </c>
    </row>
    <row r="1125">
      <c r="A1125" t="n">
        <v>41411</v>
      </c>
      <c r="B1125" t="n">
        <v>4141</v>
      </c>
      <c r="C1125">
        <f>IF(B1125='🎯 一鍵查詢'!$C$5,COUNTIF($B$2:B1125,'🎯 一鍵查詢'!$C$5),"")</f>
        <v/>
      </c>
    </row>
    <row r="1126">
      <c r="A1126" t="n">
        <v>41412</v>
      </c>
      <c r="B1126" t="n">
        <v>4141</v>
      </c>
      <c r="C1126">
        <f>IF(B1126='🎯 一鍵查詢'!$C$5,COUNTIF($B$2:B1126,'🎯 一鍵查詢'!$C$5),"")</f>
        <v/>
      </c>
    </row>
    <row r="1127">
      <c r="A1127" t="n">
        <v>41413</v>
      </c>
      <c r="B1127" t="n">
        <v>4141</v>
      </c>
      <c r="C1127">
        <f>IF(B1127='🎯 一鍵查詢'!$C$5,COUNTIF($B$2:B1127,'🎯 一鍵查詢'!$C$5),"")</f>
        <v/>
      </c>
    </row>
    <row r="1128">
      <c r="A1128" t="n">
        <v>41414</v>
      </c>
      <c r="B1128" t="n">
        <v>4141</v>
      </c>
      <c r="C1128">
        <f>IF(B1128='🎯 一鍵查詢'!$C$5,COUNTIF($B$2:B1128,'🎯 一鍵查詢'!$C$5),"")</f>
        <v/>
      </c>
    </row>
    <row r="1129">
      <c r="A1129" t="n">
        <v>41415</v>
      </c>
      <c r="B1129" t="n">
        <v>4141</v>
      </c>
      <c r="C1129">
        <f>IF(B1129='🎯 一鍵查詢'!$C$5,COUNTIF($B$2:B1129,'🎯 一鍵查詢'!$C$5),"")</f>
        <v/>
      </c>
    </row>
    <row r="1130">
      <c r="A1130" t="n">
        <v>41421</v>
      </c>
      <c r="B1130" t="n">
        <v>4142</v>
      </c>
      <c r="C1130">
        <f>IF(B1130='🎯 一鍵查詢'!$C$5,COUNTIF($B$2:B1130,'🎯 一鍵查詢'!$C$5),"")</f>
        <v/>
      </c>
    </row>
    <row r="1131">
      <c r="A1131" t="n">
        <v>41422</v>
      </c>
      <c r="B1131" t="n">
        <v>4142</v>
      </c>
      <c r="C1131">
        <f>IF(B1131='🎯 一鍵查詢'!$C$5,COUNTIF($B$2:B1131,'🎯 一鍵查詢'!$C$5),"")</f>
        <v/>
      </c>
    </row>
    <row r="1132">
      <c r="A1132" t="n">
        <v>41481</v>
      </c>
      <c r="B1132" t="n">
        <v>4148</v>
      </c>
      <c r="C1132">
        <f>IF(B1132='🎯 一鍵查詢'!$C$5,COUNTIF($B$2:B1132,'🎯 一鍵查詢'!$C$5),"")</f>
        <v/>
      </c>
    </row>
    <row r="1133">
      <c r="A1133" t="n">
        <v>41531</v>
      </c>
      <c r="B1133" t="n">
        <v>4153</v>
      </c>
      <c r="C1133">
        <f>IF(B1133='🎯 一鍵查詢'!$C$5,COUNTIF($B$2:B1133,'🎯 一鍵查詢'!$C$5),"")</f>
        <v/>
      </c>
    </row>
    <row r="1134">
      <c r="A1134" t="n">
        <v>41532</v>
      </c>
      <c r="B1134" t="n">
        <v>4153</v>
      </c>
      <c r="C1134">
        <f>IF(B1134='🎯 一鍵查詢'!$C$5,COUNTIF($B$2:B1134,'🎯 一鍵查詢'!$C$5),"")</f>
        <v/>
      </c>
    </row>
    <row r="1135">
      <c r="A1135" t="n">
        <v>41551</v>
      </c>
      <c r="B1135" t="n">
        <v>4155</v>
      </c>
      <c r="C1135">
        <f>IF(B1135='🎯 一鍵查詢'!$C$5,COUNTIF($B$2:B1135,'🎯 一鍵查詢'!$C$5),"")</f>
        <v/>
      </c>
    </row>
    <row r="1136">
      <c r="A1136" t="n">
        <v>41552</v>
      </c>
      <c r="B1136" t="n">
        <v>4155</v>
      </c>
      <c r="C1136">
        <f>IF(B1136='🎯 一鍵查詢'!$C$5,COUNTIF($B$2:B1136,'🎯 一鍵查詢'!$C$5),"")</f>
        <v/>
      </c>
    </row>
    <row r="1137">
      <c r="A1137" t="n">
        <v>41553</v>
      </c>
      <c r="B1137" t="n">
        <v>4155</v>
      </c>
      <c r="C1137">
        <f>IF(B1137='🎯 一鍵查詢'!$C$5,COUNTIF($B$2:B1137,'🎯 一鍵查詢'!$C$5),"")</f>
        <v/>
      </c>
    </row>
    <row r="1138">
      <c r="A1138" t="n">
        <v>41611</v>
      </c>
      <c r="B1138" t="n">
        <v>4161</v>
      </c>
      <c r="C1138">
        <f>IF(B1138='🎯 一鍵查詢'!$C$5,COUNTIF($B$2:B1138,'🎯 一鍵查詢'!$C$5),"")</f>
        <v/>
      </c>
    </row>
    <row r="1139">
      <c r="A1139" t="n">
        <v>41631</v>
      </c>
      <c r="B1139" t="n">
        <v>4163</v>
      </c>
      <c r="C1139">
        <f>IF(B1139='🎯 一鍵查詢'!$C$5,COUNTIF($B$2:B1139,'🎯 一鍵查詢'!$C$5),"")</f>
        <v/>
      </c>
    </row>
    <row r="1140">
      <c r="A1140" t="n">
        <v>41641</v>
      </c>
      <c r="B1140" t="n">
        <v>4164</v>
      </c>
      <c r="C1140">
        <f>IF(B1140='🎯 一鍵查詢'!$C$5,COUNTIF($B$2:B1140,'🎯 一鍵查詢'!$C$5),"")</f>
        <v/>
      </c>
    </row>
    <row r="1141">
      <c r="A1141" t="n">
        <v>41642</v>
      </c>
      <c r="B1141" t="n">
        <v>4164</v>
      </c>
      <c r="C1141">
        <f>IF(B1141='🎯 一鍵查詢'!$C$5,COUNTIF($B$2:B1141,'🎯 一鍵查詢'!$C$5),"")</f>
        <v/>
      </c>
    </row>
    <row r="1142">
      <c r="A1142" t="n">
        <v>41643</v>
      </c>
      <c r="B1142" t="n">
        <v>4164</v>
      </c>
      <c r="C1142">
        <f>IF(B1142='🎯 一鍵查詢'!$C$5,COUNTIF($B$2:B1142,'🎯 一鍵查詢'!$C$5),"")</f>
        <v/>
      </c>
    </row>
    <row r="1143">
      <c r="A1143" t="n">
        <v>41644</v>
      </c>
      <c r="B1143" t="n">
        <v>4164</v>
      </c>
      <c r="C1143">
        <f>IF(B1143='🎯 一鍵查詢'!$C$5,COUNTIF($B$2:B1143,'🎯 一鍵查詢'!$C$5),"")</f>
        <v/>
      </c>
    </row>
    <row r="1144">
      <c r="A1144" t="n">
        <v>41645</v>
      </c>
      <c r="B1144" t="n">
        <v>4164</v>
      </c>
      <c r="C1144">
        <f>IF(B1144='🎯 一鍵查詢'!$C$5,COUNTIF($B$2:B1144,'🎯 一鍵查詢'!$C$5),"")</f>
        <v/>
      </c>
    </row>
    <row r="1145">
      <c r="A1145" t="n">
        <v>41671</v>
      </c>
      <c r="B1145" t="n">
        <v>4167</v>
      </c>
      <c r="C1145">
        <f>IF(B1145='🎯 一鍵查詢'!$C$5,COUNTIF($B$2:B1145,'🎯 一鍵查詢'!$C$5),"")</f>
        <v/>
      </c>
    </row>
    <row r="1146">
      <c r="A1146" t="n">
        <v>41672</v>
      </c>
      <c r="B1146" t="n">
        <v>4167</v>
      </c>
      <c r="C1146">
        <f>IF(B1146='🎯 一鍵查詢'!$C$5,COUNTIF($B$2:B1146,'🎯 一鍵查詢'!$C$5),"")</f>
        <v/>
      </c>
    </row>
    <row r="1147">
      <c r="A1147" t="n">
        <v>41681</v>
      </c>
      <c r="B1147" t="n">
        <v>4168</v>
      </c>
      <c r="C1147">
        <f>IF(B1147='🎯 一鍵查詢'!$C$5,COUNTIF($B$2:B1147,'🎯 一鍵查詢'!$C$5),"")</f>
        <v/>
      </c>
    </row>
    <row r="1148">
      <c r="A1148" t="n">
        <v>41682</v>
      </c>
      <c r="B1148" t="n">
        <v>4168</v>
      </c>
      <c r="C1148">
        <f>IF(B1148='🎯 一鍵查詢'!$C$5,COUNTIF($B$2:B1148,'🎯 一鍵查詢'!$C$5),"")</f>
        <v/>
      </c>
    </row>
    <row r="1149">
      <c r="A1149" t="n">
        <v>41683</v>
      </c>
      <c r="B1149" t="n">
        <v>4168</v>
      </c>
      <c r="C1149">
        <f>IF(B1149='🎯 一鍵查詢'!$C$5,COUNTIF($B$2:B1149,'🎯 一鍵查詢'!$C$5),"")</f>
        <v/>
      </c>
    </row>
    <row r="1150">
      <c r="A1150" t="n">
        <v>41684</v>
      </c>
      <c r="B1150" t="n">
        <v>4168</v>
      </c>
      <c r="C1150">
        <f>IF(B1150='🎯 一鍵查詢'!$C$5,COUNTIF($B$2:B1150,'🎯 一鍵查詢'!$C$5),"")</f>
        <v/>
      </c>
    </row>
    <row r="1151">
      <c r="A1151" t="n">
        <v>41711</v>
      </c>
      <c r="B1151" t="n">
        <v>4171</v>
      </c>
      <c r="C1151">
        <f>IF(B1151='🎯 一鍵查詢'!$C$5,COUNTIF($B$2:B1151,'🎯 一鍵查詢'!$C$5),"")</f>
        <v/>
      </c>
    </row>
    <row r="1152">
      <c r="A1152" t="n">
        <v>41712</v>
      </c>
      <c r="B1152" t="n">
        <v>4171</v>
      </c>
      <c r="C1152">
        <f>IF(B1152='🎯 一鍵查詢'!$C$5,COUNTIF($B$2:B1152,'🎯 一鍵查詢'!$C$5),"")</f>
        <v/>
      </c>
    </row>
    <row r="1153">
      <c r="A1153" t="n">
        <v>41751</v>
      </c>
      <c r="B1153" t="n">
        <v>4175</v>
      </c>
      <c r="C1153">
        <f>IF(B1153='🎯 一鍵查詢'!$C$5,COUNTIF($B$2:B1153,'🎯 一鍵查詢'!$C$5),"")</f>
        <v/>
      </c>
    </row>
    <row r="1154">
      <c r="A1154" t="n">
        <v>41752</v>
      </c>
      <c r="B1154" t="n">
        <v>4175</v>
      </c>
      <c r="C1154">
        <f>IF(B1154='🎯 一鍵查詢'!$C$5,COUNTIF($B$2:B1154,'🎯 一鍵查詢'!$C$5),"")</f>
        <v/>
      </c>
    </row>
    <row r="1155">
      <c r="A1155" t="n">
        <v>41901</v>
      </c>
      <c r="B1155" t="n">
        <v>4190</v>
      </c>
      <c r="C1155">
        <f>IF(B1155='🎯 一鍵查詢'!$C$5,COUNTIF($B$2:B1155,'🎯 一鍵查詢'!$C$5),"")</f>
        <v/>
      </c>
    </row>
    <row r="1156">
      <c r="A1156" t="n">
        <v>41902</v>
      </c>
      <c r="B1156" t="n">
        <v>4190</v>
      </c>
      <c r="C1156">
        <f>IF(B1156='🎯 一鍵查詢'!$C$5,COUNTIF($B$2:B1156,'🎯 一鍵查詢'!$C$5),"")</f>
        <v/>
      </c>
    </row>
    <row r="1157">
      <c r="A1157" t="n">
        <v>41903</v>
      </c>
      <c r="B1157" t="n">
        <v>4190</v>
      </c>
      <c r="C1157">
        <f>IF(B1157='🎯 一鍵查詢'!$C$5,COUNTIF($B$2:B1157,'🎯 一鍵查詢'!$C$5),"")</f>
        <v/>
      </c>
    </row>
    <row r="1158">
      <c r="A1158" t="n">
        <v>42071</v>
      </c>
      <c r="B1158" t="n">
        <v>4207</v>
      </c>
      <c r="C1158">
        <f>IF(B1158='🎯 一鍵查詢'!$C$5,COUNTIF($B$2:B1158,'🎯 一鍵查詢'!$C$5),"")</f>
        <v/>
      </c>
    </row>
    <row r="1159">
      <c r="A1159" t="n">
        <v>42072</v>
      </c>
      <c r="B1159" t="n">
        <v>4207</v>
      </c>
      <c r="C1159">
        <f>IF(B1159='🎯 一鍵查詢'!$C$5,COUNTIF($B$2:B1159,'🎯 一鍵查詢'!$C$5),"")</f>
        <v/>
      </c>
    </row>
    <row r="1160">
      <c r="A1160" t="n">
        <v>43031</v>
      </c>
      <c r="B1160" t="n">
        <v>4303</v>
      </c>
      <c r="C1160">
        <f>IF(B1160='🎯 一鍵查詢'!$C$5,COUNTIF($B$2:B1160,'🎯 一鍵查詢'!$C$5),"")</f>
        <v/>
      </c>
    </row>
    <row r="1161">
      <c r="A1161" t="n">
        <v>43061</v>
      </c>
      <c r="B1161" t="n">
        <v>4306</v>
      </c>
      <c r="C1161">
        <f>IF(B1161='🎯 一鍵查詢'!$C$5,COUNTIF($B$2:B1161,'🎯 一鍵查詢'!$C$5),"")</f>
        <v/>
      </c>
    </row>
    <row r="1162">
      <c r="A1162" t="n">
        <v>43062</v>
      </c>
      <c r="B1162" t="n">
        <v>4306</v>
      </c>
      <c r="C1162">
        <f>IF(B1162='🎯 一鍵查詢'!$C$5,COUNTIF($B$2:B1162,'🎯 一鍵查詢'!$C$5),"")</f>
        <v/>
      </c>
    </row>
    <row r="1163">
      <c r="A1163" t="n">
        <v>43063</v>
      </c>
      <c r="B1163" t="n">
        <v>4306</v>
      </c>
      <c r="C1163">
        <f>IF(B1163='🎯 一鍵查詢'!$C$5,COUNTIF($B$2:B1163,'🎯 一鍵查詢'!$C$5),"")</f>
        <v/>
      </c>
    </row>
    <row r="1164">
      <c r="A1164" t="n">
        <v>43064</v>
      </c>
      <c r="B1164" t="n">
        <v>4306</v>
      </c>
      <c r="C1164">
        <f>IF(B1164='🎯 一鍵查詢'!$C$5,COUNTIF($B$2:B1164,'🎯 一鍵查詢'!$C$5),"")</f>
        <v/>
      </c>
    </row>
    <row r="1165">
      <c r="A1165" t="n">
        <v>43065</v>
      </c>
      <c r="B1165" t="n">
        <v>4306</v>
      </c>
      <c r="C1165">
        <f>IF(B1165='🎯 一鍵查詢'!$C$5,COUNTIF($B$2:B1165,'🎯 一鍵查詢'!$C$5),"")</f>
        <v/>
      </c>
    </row>
    <row r="1166">
      <c r="A1166" t="n">
        <v>43066</v>
      </c>
      <c r="B1166" t="n">
        <v>4306</v>
      </c>
      <c r="C1166">
        <f>IF(B1166='🎯 一鍵查詢'!$C$5,COUNTIF($B$2:B1166,'🎯 一鍵查詢'!$C$5),"")</f>
        <v/>
      </c>
    </row>
    <row r="1167">
      <c r="A1167" t="n">
        <v>43067</v>
      </c>
      <c r="B1167" t="n">
        <v>4306</v>
      </c>
      <c r="C1167">
        <f>IF(B1167='🎯 一鍵查詢'!$C$5,COUNTIF($B$2:B1167,'🎯 一鍵查詢'!$C$5),"")</f>
        <v/>
      </c>
    </row>
    <row r="1168">
      <c r="A1168" t="n">
        <v>43068</v>
      </c>
      <c r="B1168" t="n">
        <v>4306</v>
      </c>
      <c r="C1168">
        <f>IF(B1168='🎯 一鍵查詢'!$C$5,COUNTIF($B$2:B1168,'🎯 一鍵查詢'!$C$5),"")</f>
        <v/>
      </c>
    </row>
    <row r="1169">
      <c r="A1169" t="n">
        <v>43069</v>
      </c>
      <c r="B1169" t="n">
        <v>4306</v>
      </c>
      <c r="C1169">
        <f>IF(B1169='🎯 一鍵查詢'!$C$5,COUNTIF($B$2:B1169,'🎯 一鍵查詢'!$C$5),"")</f>
        <v/>
      </c>
    </row>
    <row r="1170">
      <c r="A1170" t="n">
        <v>44021</v>
      </c>
      <c r="B1170" t="n">
        <v>4402</v>
      </c>
      <c r="C1170">
        <f>IF(B1170='🎯 一鍵查詢'!$C$5,COUNTIF($B$2:B1170,'🎯 一鍵查詢'!$C$5),"")</f>
        <v/>
      </c>
    </row>
    <row r="1171">
      <c r="A1171" t="n">
        <v>44141</v>
      </c>
      <c r="B1171" t="n">
        <v>4414</v>
      </c>
      <c r="C1171">
        <f>IF(B1171='🎯 一鍵查詢'!$C$5,COUNTIF($B$2:B1171,'🎯 一鍵查詢'!$C$5),"")</f>
        <v/>
      </c>
    </row>
    <row r="1172">
      <c r="A1172" t="n">
        <v>44142</v>
      </c>
      <c r="B1172" t="n">
        <v>4414</v>
      </c>
      <c r="C1172">
        <f>IF(B1172='🎯 一鍵查詢'!$C$5,COUNTIF($B$2:B1172,'🎯 一鍵查詢'!$C$5),"")</f>
        <v/>
      </c>
    </row>
    <row r="1173">
      <c r="A1173" t="n">
        <v>44143</v>
      </c>
      <c r="B1173" t="n">
        <v>4414</v>
      </c>
      <c r="C1173">
        <f>IF(B1173='🎯 一鍵查詢'!$C$5,COUNTIF($B$2:B1173,'🎯 一鍵查詢'!$C$5),"")</f>
        <v/>
      </c>
    </row>
    <row r="1174">
      <c r="A1174" t="n">
        <v>44144</v>
      </c>
      <c r="B1174" t="n">
        <v>4414</v>
      </c>
      <c r="C1174">
        <f>IF(B1174='🎯 一鍵查詢'!$C$5,COUNTIF($B$2:B1174,'🎯 一鍵查詢'!$C$5),"")</f>
        <v/>
      </c>
    </row>
    <row r="1175">
      <c r="A1175" t="n">
        <v>44161</v>
      </c>
      <c r="B1175" t="n">
        <v>4416</v>
      </c>
      <c r="C1175">
        <f>IF(B1175='🎯 一鍵查詢'!$C$5,COUNTIF($B$2:B1175,'🎯 一鍵查詢'!$C$5),"")</f>
        <v/>
      </c>
    </row>
    <row r="1176">
      <c r="A1176" t="n">
        <v>44162</v>
      </c>
      <c r="B1176" t="n">
        <v>4416</v>
      </c>
      <c r="C1176">
        <f>IF(B1176='🎯 一鍵查詢'!$C$5,COUNTIF($B$2:B1176,'🎯 一鍵查詢'!$C$5),"")</f>
        <v/>
      </c>
    </row>
    <row r="1177">
      <c r="A1177" t="n">
        <v>44163</v>
      </c>
      <c r="B1177" t="n">
        <v>4416</v>
      </c>
      <c r="C1177">
        <f>IF(B1177='🎯 一鍵查詢'!$C$5,COUNTIF($B$2:B1177,'🎯 一鍵查詢'!$C$5),"")</f>
        <v/>
      </c>
    </row>
    <row r="1178">
      <c r="A1178" t="n">
        <v>44301</v>
      </c>
      <c r="B1178" t="n">
        <v>4430</v>
      </c>
      <c r="C1178">
        <f>IF(B1178='🎯 一鍵查詢'!$C$5,COUNTIF($B$2:B1178,'🎯 一鍵查詢'!$C$5),"")</f>
        <v/>
      </c>
    </row>
    <row r="1179">
      <c r="A1179" t="n">
        <v>44331</v>
      </c>
      <c r="B1179" t="n">
        <v>4433</v>
      </c>
      <c r="C1179">
        <f>IF(B1179='🎯 一鍵查詢'!$C$5,COUNTIF($B$2:B1179,'🎯 一鍵查詢'!$C$5),"")</f>
        <v/>
      </c>
    </row>
    <row r="1180">
      <c r="A1180" t="n">
        <v>44332</v>
      </c>
      <c r="B1180" t="n">
        <v>4433</v>
      </c>
      <c r="C1180">
        <f>IF(B1180='🎯 一鍵查詢'!$C$5,COUNTIF($B$2:B1180,'🎯 一鍵查詢'!$C$5),"")</f>
        <v/>
      </c>
    </row>
    <row r="1181">
      <c r="A1181" t="n">
        <v>44381</v>
      </c>
      <c r="B1181" t="n">
        <v>4438</v>
      </c>
      <c r="C1181">
        <f>IF(B1181='🎯 一鍵查詢'!$C$5,COUNTIF($B$2:B1181,'🎯 一鍵查詢'!$C$5),"")</f>
        <v/>
      </c>
    </row>
    <row r="1182">
      <c r="A1182" t="n">
        <v>44382</v>
      </c>
      <c r="B1182" t="n">
        <v>4438</v>
      </c>
      <c r="C1182">
        <f>IF(B1182='🎯 一鍵查詢'!$C$5,COUNTIF($B$2:B1182,'🎯 一鍵查詢'!$C$5),"")</f>
        <v/>
      </c>
    </row>
    <row r="1183">
      <c r="A1183" t="n">
        <v>44383</v>
      </c>
      <c r="B1183" t="n">
        <v>4438</v>
      </c>
      <c r="C1183">
        <f>IF(B1183='🎯 一鍵查詢'!$C$5,COUNTIF($B$2:B1183,'🎯 一鍵查詢'!$C$5),"")</f>
        <v/>
      </c>
    </row>
    <row r="1184">
      <c r="A1184" t="n">
        <v>44391</v>
      </c>
      <c r="B1184" t="n">
        <v>4439</v>
      </c>
      <c r="C1184">
        <f>IF(B1184='🎯 一鍵查詢'!$C$5,COUNTIF($B$2:B1184,'🎯 一鍵查詢'!$C$5),"")</f>
        <v/>
      </c>
    </row>
    <row r="1185">
      <c r="A1185" t="n">
        <v>44421</v>
      </c>
      <c r="B1185" t="n">
        <v>4442</v>
      </c>
      <c r="C1185">
        <f>IF(B1185='🎯 一鍵查詢'!$C$5,COUNTIF($B$2:B1185,'🎯 一鍵查詢'!$C$5),"")</f>
        <v/>
      </c>
    </row>
    <row r="1186">
      <c r="A1186" t="n">
        <v>45101</v>
      </c>
      <c r="B1186" t="n">
        <v>4510</v>
      </c>
      <c r="C1186">
        <f>IF(B1186='🎯 一鍵查詢'!$C$5,COUNTIF($B$2:B1186,'🎯 一鍵查詢'!$C$5),"")</f>
        <v/>
      </c>
    </row>
    <row r="1187">
      <c r="A1187" t="n">
        <v>45102</v>
      </c>
      <c r="B1187" t="n">
        <v>4510</v>
      </c>
      <c r="C1187">
        <f>IF(B1187='🎯 一鍵查詢'!$C$5,COUNTIF($B$2:B1187,'🎯 一鍵查詢'!$C$5),"")</f>
        <v/>
      </c>
    </row>
    <row r="1188">
      <c r="A1188" t="n">
        <v>45231</v>
      </c>
      <c r="B1188" t="n">
        <v>4523</v>
      </c>
      <c r="C1188">
        <f>IF(B1188='🎯 一鍵查詢'!$C$5,COUNTIF($B$2:B1188,'🎯 一鍵查詢'!$C$5),"")</f>
        <v/>
      </c>
    </row>
    <row r="1189">
      <c r="A1189" t="n">
        <v>45261</v>
      </c>
      <c r="B1189" t="n">
        <v>4526</v>
      </c>
      <c r="C1189">
        <f>IF(B1189='🎯 一鍵查詢'!$C$5,COUNTIF($B$2:B1189,'🎯 一鍵查詢'!$C$5),"")</f>
        <v/>
      </c>
    </row>
    <row r="1190">
      <c r="A1190" t="n">
        <v>45271</v>
      </c>
      <c r="B1190" t="n">
        <v>4527</v>
      </c>
      <c r="C1190">
        <f>IF(B1190='🎯 一鍵查詢'!$C$5,COUNTIF($B$2:B1190,'🎯 一鍵查詢'!$C$5),"")</f>
        <v/>
      </c>
    </row>
    <row r="1191">
      <c r="A1191" t="n">
        <v>45272</v>
      </c>
      <c r="B1191" t="n">
        <v>4527</v>
      </c>
      <c r="C1191">
        <f>IF(B1191='🎯 一鍵查詢'!$C$5,COUNTIF($B$2:B1191,'🎯 一鍵查詢'!$C$5),"")</f>
        <v/>
      </c>
    </row>
    <row r="1192">
      <c r="A1192" t="n">
        <v>45321</v>
      </c>
      <c r="B1192" t="n">
        <v>4532</v>
      </c>
      <c r="C1192">
        <f>IF(B1192='🎯 一鍵查詢'!$C$5,COUNTIF($B$2:B1192,'🎯 一鍵查詢'!$C$5),"")</f>
        <v/>
      </c>
    </row>
    <row r="1193">
      <c r="A1193" t="n">
        <v>45322</v>
      </c>
      <c r="B1193" t="n">
        <v>4532</v>
      </c>
      <c r="C1193">
        <f>IF(B1193='🎯 一鍵查詢'!$C$5,COUNTIF($B$2:B1193,'🎯 一鍵查詢'!$C$5),"")</f>
        <v/>
      </c>
    </row>
    <row r="1194">
      <c r="A1194" t="n">
        <v>45331</v>
      </c>
      <c r="B1194" t="n">
        <v>4533</v>
      </c>
      <c r="C1194">
        <f>IF(B1194='🎯 一鍵查詢'!$C$5,COUNTIF($B$2:B1194,'🎯 一鍵查詢'!$C$5),"")</f>
        <v/>
      </c>
    </row>
    <row r="1195">
      <c r="A1195" t="n">
        <v>45341</v>
      </c>
      <c r="B1195" t="n">
        <v>4534</v>
      </c>
      <c r="C1195">
        <f>IF(B1195='🎯 一鍵查詢'!$C$5,COUNTIF($B$2:B1195,'🎯 一鍵查詢'!$C$5),"")</f>
        <v/>
      </c>
    </row>
    <row r="1196">
      <c r="A1196" t="n">
        <v>45342</v>
      </c>
      <c r="B1196" t="n">
        <v>4534</v>
      </c>
      <c r="C1196">
        <f>IF(B1196='🎯 一鍵查詢'!$C$5,COUNTIF($B$2:B1196,'🎯 一鍵查詢'!$C$5),"")</f>
        <v/>
      </c>
    </row>
    <row r="1197">
      <c r="A1197" t="n">
        <v>45343</v>
      </c>
      <c r="B1197" t="n">
        <v>4534</v>
      </c>
      <c r="C1197">
        <f>IF(B1197='🎯 一鍵查詢'!$C$5,COUNTIF($B$2:B1197,'🎯 一鍵查詢'!$C$5),"")</f>
        <v/>
      </c>
    </row>
    <row r="1198">
      <c r="A1198" t="n">
        <v>45381</v>
      </c>
      <c r="B1198" t="n">
        <v>4538</v>
      </c>
      <c r="C1198">
        <f>IF(B1198='🎯 一鍵查詢'!$C$5,COUNTIF($B$2:B1198,'🎯 一鍵查詢'!$C$5),"")</f>
        <v/>
      </c>
    </row>
    <row r="1199">
      <c r="A1199" t="n">
        <v>45401</v>
      </c>
      <c r="B1199" t="n">
        <v>4540</v>
      </c>
      <c r="C1199">
        <f>IF(B1199='🎯 一鍵查詢'!$C$5,COUNTIF($B$2:B1199,'🎯 一鍵查詢'!$C$5),"")</f>
        <v/>
      </c>
    </row>
    <row r="1200">
      <c r="A1200" t="n">
        <v>45402</v>
      </c>
      <c r="B1200" t="n">
        <v>4540</v>
      </c>
      <c r="C1200">
        <f>IF(B1200='🎯 一鍵查詢'!$C$5,COUNTIF($B$2:B1200,'🎯 一鍵查詢'!$C$5),"")</f>
        <v/>
      </c>
    </row>
    <row r="1201">
      <c r="A1201" t="n">
        <v>45411</v>
      </c>
      <c r="B1201" t="n">
        <v>4541</v>
      </c>
      <c r="C1201">
        <f>IF(B1201='🎯 一鍵查詢'!$C$5,COUNTIF($B$2:B1201,'🎯 一鍵查詢'!$C$5),"")</f>
        <v/>
      </c>
    </row>
    <row r="1202">
      <c r="A1202" t="n">
        <v>45412</v>
      </c>
      <c r="B1202" t="n">
        <v>4541</v>
      </c>
      <c r="C1202">
        <f>IF(B1202='🎯 一鍵查詢'!$C$5,COUNTIF($B$2:B1202,'🎯 一鍵查詢'!$C$5),"")</f>
        <v/>
      </c>
    </row>
    <row r="1203">
      <c r="A1203" t="n">
        <v>45413</v>
      </c>
      <c r="B1203" t="n">
        <v>4541</v>
      </c>
      <c r="C1203">
        <f>IF(B1203='🎯 一鍵查詢'!$C$5,COUNTIF($B$2:B1203,'🎯 一鍵查詢'!$C$5),"")</f>
        <v/>
      </c>
    </row>
    <row r="1204">
      <c r="A1204" t="n">
        <v>45414</v>
      </c>
      <c r="B1204" t="n">
        <v>4541</v>
      </c>
      <c r="C1204">
        <f>IF(B1204='🎯 一鍵查詢'!$C$5,COUNTIF($B$2:B1204,'🎯 一鍵查詢'!$C$5),"")</f>
        <v/>
      </c>
    </row>
    <row r="1205">
      <c r="A1205" t="n">
        <v>45421</v>
      </c>
      <c r="B1205" t="n">
        <v>4542</v>
      </c>
      <c r="C1205">
        <f>IF(B1205='🎯 一鍵查詢'!$C$5,COUNTIF($B$2:B1205,'🎯 一鍵查詢'!$C$5),"")</f>
        <v/>
      </c>
    </row>
    <row r="1206">
      <c r="A1206" t="n">
        <v>45491</v>
      </c>
      <c r="B1206" t="n">
        <v>4549</v>
      </c>
      <c r="C1206">
        <f>IF(B1206='🎯 一鍵查詢'!$C$5,COUNTIF($B$2:B1206,'🎯 一鍵查詢'!$C$5),"")</f>
        <v/>
      </c>
    </row>
    <row r="1207">
      <c r="A1207" t="n">
        <v>45501</v>
      </c>
      <c r="B1207" t="n">
        <v>4550</v>
      </c>
      <c r="C1207">
        <f>IF(B1207='🎯 一鍵查詢'!$C$5,COUNTIF($B$2:B1207,'🎯 一鍵查詢'!$C$5),"")</f>
        <v/>
      </c>
    </row>
    <row r="1208">
      <c r="A1208" t="n">
        <v>45511</v>
      </c>
      <c r="B1208" t="n">
        <v>4551</v>
      </c>
      <c r="C1208">
        <f>IF(B1208='🎯 一鍵查詢'!$C$5,COUNTIF($B$2:B1208,'🎯 一鍵查詢'!$C$5),"")</f>
        <v/>
      </c>
    </row>
    <row r="1209">
      <c r="A1209" t="n">
        <v>45551</v>
      </c>
      <c r="B1209" t="n">
        <v>4555</v>
      </c>
      <c r="C1209">
        <f>IF(B1209='🎯 一鍵查詢'!$C$5,COUNTIF($B$2:B1209,'🎯 一鍵查詢'!$C$5),"")</f>
        <v/>
      </c>
    </row>
    <row r="1210">
      <c r="A1210" t="n">
        <v>45552</v>
      </c>
      <c r="B1210" t="n">
        <v>4555</v>
      </c>
      <c r="C1210">
        <f>IF(B1210='🎯 一鍵查詢'!$C$5,COUNTIF($B$2:B1210,'🎯 一鍵查詢'!$C$5),"")</f>
        <v/>
      </c>
    </row>
    <row r="1211">
      <c r="A1211" t="n">
        <v>45553</v>
      </c>
      <c r="B1211" t="n">
        <v>4555</v>
      </c>
      <c r="C1211">
        <f>IF(B1211='🎯 一鍵查詢'!$C$5,COUNTIF($B$2:B1211,'🎯 一鍵查詢'!$C$5),"")</f>
        <v/>
      </c>
    </row>
    <row r="1212">
      <c r="A1212" t="n">
        <v>45554</v>
      </c>
      <c r="B1212" t="n">
        <v>4555</v>
      </c>
      <c r="C1212">
        <f>IF(B1212='🎯 一鍵查詢'!$C$5,COUNTIF($B$2:B1212,'🎯 一鍵查詢'!$C$5),"")</f>
        <v/>
      </c>
    </row>
    <row r="1213">
      <c r="A1213" t="n">
        <v>45561</v>
      </c>
      <c r="B1213" t="n">
        <v>4556</v>
      </c>
      <c r="C1213">
        <f>IF(B1213='🎯 一鍵查詢'!$C$5,COUNTIF($B$2:B1213,'🎯 一鍵查詢'!$C$5),"")</f>
        <v/>
      </c>
    </row>
    <row r="1214">
      <c r="A1214" t="n">
        <v>45562</v>
      </c>
      <c r="B1214" t="n">
        <v>4556</v>
      </c>
      <c r="C1214">
        <f>IF(B1214='🎯 一鍵查詢'!$C$5,COUNTIF($B$2:B1214,'🎯 一鍵查詢'!$C$5),"")</f>
        <v/>
      </c>
    </row>
    <row r="1215">
      <c r="A1215" t="n">
        <v>45581</v>
      </c>
      <c r="B1215" t="n">
        <v>4558</v>
      </c>
      <c r="C1215">
        <f>IF(B1215='🎯 一鍵查詢'!$C$5,COUNTIF($B$2:B1215,'🎯 一鍵查詢'!$C$5),"")</f>
        <v/>
      </c>
    </row>
    <row r="1216">
      <c r="A1216" t="n">
        <v>45601</v>
      </c>
      <c r="B1216" t="n">
        <v>4560</v>
      </c>
      <c r="C1216">
        <f>IF(B1216='🎯 一鍵查詢'!$C$5,COUNTIF($B$2:B1216,'🎯 一鍵查詢'!$C$5),"")</f>
        <v/>
      </c>
    </row>
    <row r="1217">
      <c r="A1217" t="n">
        <v>45631</v>
      </c>
      <c r="B1217" t="n">
        <v>4563</v>
      </c>
      <c r="C1217">
        <f>IF(B1217='🎯 一鍵查詢'!$C$5,COUNTIF($B$2:B1217,'🎯 一鍵查詢'!$C$5),"")</f>
        <v/>
      </c>
    </row>
    <row r="1218">
      <c r="A1218" t="n">
        <v>45641</v>
      </c>
      <c r="B1218" t="n">
        <v>4564</v>
      </c>
      <c r="C1218">
        <f>IF(B1218='🎯 一鍵查詢'!$C$5,COUNTIF($B$2:B1218,'🎯 一鍵查詢'!$C$5),"")</f>
        <v/>
      </c>
    </row>
    <row r="1219">
      <c r="A1219" t="n">
        <v>45661</v>
      </c>
      <c r="B1219" t="n">
        <v>4566</v>
      </c>
      <c r="C1219">
        <f>IF(B1219='🎯 一鍵查詢'!$C$5,COUNTIF($B$2:B1219,'🎯 一鍵查詢'!$C$5),"")</f>
        <v/>
      </c>
    </row>
    <row r="1220">
      <c r="A1220" t="n">
        <v>45662</v>
      </c>
      <c r="B1220" t="n">
        <v>4566</v>
      </c>
      <c r="C1220">
        <f>IF(B1220='🎯 一鍵查詢'!$C$5,COUNTIF($B$2:B1220,'🎯 一鍵查詢'!$C$5),"")</f>
        <v/>
      </c>
    </row>
    <row r="1221">
      <c r="A1221" t="n">
        <v>45663</v>
      </c>
      <c r="B1221" t="n">
        <v>4566</v>
      </c>
      <c r="C1221">
        <f>IF(B1221='🎯 一鍵查詢'!$C$5,COUNTIF($B$2:B1221,'🎯 一鍵查詢'!$C$5),"")</f>
        <v/>
      </c>
    </row>
    <row r="1222">
      <c r="A1222" t="n">
        <v>45691</v>
      </c>
      <c r="B1222" t="n">
        <v>4569</v>
      </c>
      <c r="C1222">
        <f>IF(B1222='🎯 一鍵查詢'!$C$5,COUNTIF($B$2:B1222,'🎯 一鍵查詢'!$C$5),"")</f>
        <v/>
      </c>
    </row>
    <row r="1223">
      <c r="A1223" t="n">
        <v>45721</v>
      </c>
      <c r="B1223" t="n">
        <v>4572</v>
      </c>
      <c r="C1223">
        <f>IF(B1223='🎯 一鍵查詢'!$C$5,COUNTIF($B$2:B1223,'🎯 一鍵查詢'!$C$5),"")</f>
        <v/>
      </c>
    </row>
    <row r="1224">
      <c r="A1224" t="n">
        <v>45801</v>
      </c>
      <c r="B1224" t="n">
        <v>4580</v>
      </c>
      <c r="C1224">
        <f>IF(B1224='🎯 一鍵查詢'!$C$5,COUNTIF($B$2:B1224,'🎯 一鍵查詢'!$C$5),"")</f>
        <v/>
      </c>
    </row>
    <row r="1225">
      <c r="A1225" t="n">
        <v>45811</v>
      </c>
      <c r="B1225" t="n">
        <v>4581</v>
      </c>
      <c r="C1225">
        <f>IF(B1225='🎯 一鍵查詢'!$C$5,COUNTIF($B$2:B1225,'🎯 一鍵查詢'!$C$5),"")</f>
        <v/>
      </c>
    </row>
    <row r="1226">
      <c r="A1226" t="n">
        <v>45881</v>
      </c>
      <c r="B1226" t="n">
        <v>4588</v>
      </c>
      <c r="C1226">
        <f>IF(B1226='🎯 一鍵查詢'!$C$5,COUNTIF($B$2:B1226,'🎯 一鍵查詢'!$C$5),"")</f>
        <v/>
      </c>
    </row>
    <row r="1227">
      <c r="A1227" t="n">
        <v>47031</v>
      </c>
      <c r="B1227" t="n">
        <v>4703</v>
      </c>
      <c r="C1227">
        <f>IF(B1227='🎯 一鍵查詢'!$C$5,COUNTIF($B$2:B1227,'🎯 一鍵查詢'!$C$5),"")</f>
        <v/>
      </c>
    </row>
    <row r="1228">
      <c r="A1228" t="n">
        <v>47141</v>
      </c>
      <c r="B1228" t="n">
        <v>4714</v>
      </c>
      <c r="C1228">
        <f>IF(B1228='🎯 一鍵查詢'!$C$5,COUNTIF($B$2:B1228,'🎯 一鍵查詢'!$C$5),"")</f>
        <v/>
      </c>
    </row>
    <row r="1229">
      <c r="A1229" t="n">
        <v>47142</v>
      </c>
      <c r="B1229" t="n">
        <v>4714</v>
      </c>
      <c r="C1229">
        <f>IF(B1229='🎯 一鍵查詢'!$C$5,COUNTIF($B$2:B1229,'🎯 一鍵查詢'!$C$5),"")</f>
        <v/>
      </c>
    </row>
    <row r="1230">
      <c r="A1230" t="n">
        <v>47143</v>
      </c>
      <c r="B1230" t="n">
        <v>4714</v>
      </c>
      <c r="C1230">
        <f>IF(B1230='🎯 一鍵查詢'!$C$5,COUNTIF($B$2:B1230,'🎯 一鍵查詢'!$C$5),"")</f>
        <v/>
      </c>
    </row>
    <row r="1231">
      <c r="A1231" t="n">
        <v>47144</v>
      </c>
      <c r="B1231" t="n">
        <v>4714</v>
      </c>
      <c r="C1231">
        <f>IF(B1231='🎯 一鍵查詢'!$C$5,COUNTIF($B$2:B1231,'🎯 一鍵查詢'!$C$5),"")</f>
        <v/>
      </c>
    </row>
    <row r="1232">
      <c r="A1232" t="n">
        <v>47145</v>
      </c>
      <c r="B1232" t="n">
        <v>4714</v>
      </c>
      <c r="C1232">
        <f>IF(B1232='🎯 一鍵查詢'!$C$5,COUNTIF($B$2:B1232,'🎯 一鍵查詢'!$C$5),"")</f>
        <v/>
      </c>
    </row>
    <row r="1233">
      <c r="A1233" t="n">
        <v>47146</v>
      </c>
      <c r="B1233" t="n">
        <v>4714</v>
      </c>
      <c r="C1233">
        <f>IF(B1233='🎯 一鍵查詢'!$C$5,COUNTIF($B$2:B1233,'🎯 一鍵查詢'!$C$5),"")</f>
        <v/>
      </c>
    </row>
    <row r="1234">
      <c r="A1234" t="n">
        <v>47147</v>
      </c>
      <c r="B1234" t="n">
        <v>4714</v>
      </c>
      <c r="C1234">
        <f>IF(B1234='🎯 一鍵查詢'!$C$5,COUNTIF($B$2:B1234,'🎯 一鍵查詢'!$C$5),"")</f>
        <v/>
      </c>
    </row>
    <row r="1235">
      <c r="A1235" t="n">
        <v>47161</v>
      </c>
      <c r="B1235" t="n">
        <v>4716</v>
      </c>
      <c r="C1235">
        <f>IF(B1235='🎯 一鍵查詢'!$C$5,COUNTIF($B$2:B1235,'🎯 一鍵查詢'!$C$5),"")</f>
        <v/>
      </c>
    </row>
    <row r="1236">
      <c r="A1236" t="n">
        <v>47162</v>
      </c>
      <c r="B1236" t="n">
        <v>4716</v>
      </c>
      <c r="C1236">
        <f>IF(B1236='🎯 一鍵查詢'!$C$5,COUNTIF($B$2:B1236,'🎯 一鍵查詢'!$C$5),"")</f>
        <v/>
      </c>
    </row>
    <row r="1237">
      <c r="A1237" t="n">
        <v>47201</v>
      </c>
      <c r="B1237" t="n">
        <v>4720</v>
      </c>
      <c r="C1237">
        <f>IF(B1237='🎯 一鍵查詢'!$C$5,COUNTIF($B$2:B1237,'🎯 一鍵查詢'!$C$5),"")</f>
        <v/>
      </c>
    </row>
    <row r="1238">
      <c r="A1238" t="n">
        <v>47202</v>
      </c>
      <c r="B1238" t="n">
        <v>4720</v>
      </c>
      <c r="C1238">
        <f>IF(B1238='🎯 一鍵查詢'!$C$5,COUNTIF($B$2:B1238,'🎯 一鍵查詢'!$C$5),"")</f>
        <v/>
      </c>
    </row>
    <row r="1239">
      <c r="A1239" t="n">
        <v>47203</v>
      </c>
      <c r="B1239" t="n">
        <v>4720</v>
      </c>
      <c r="C1239">
        <f>IF(B1239='🎯 一鍵查詢'!$C$5,COUNTIF($B$2:B1239,'🎯 一鍵查詢'!$C$5),"")</f>
        <v/>
      </c>
    </row>
    <row r="1240">
      <c r="A1240" t="n">
        <v>47211</v>
      </c>
      <c r="B1240" t="n">
        <v>4721</v>
      </c>
      <c r="C1240">
        <f>IF(B1240='🎯 一鍵查詢'!$C$5,COUNTIF($B$2:B1240,'🎯 一鍵查詢'!$C$5),"")</f>
        <v/>
      </c>
    </row>
    <row r="1241">
      <c r="A1241" t="n">
        <v>47221</v>
      </c>
      <c r="B1241" t="n">
        <v>4722</v>
      </c>
      <c r="C1241">
        <f>IF(B1241='🎯 一鍵查詢'!$C$5,COUNTIF($B$2:B1241,'🎯 一鍵查詢'!$C$5),"")</f>
        <v/>
      </c>
    </row>
    <row r="1242">
      <c r="A1242" t="n">
        <v>47222</v>
      </c>
      <c r="B1242" t="n">
        <v>4722</v>
      </c>
      <c r="C1242">
        <f>IF(B1242='🎯 一鍵查詢'!$C$5,COUNTIF($B$2:B1242,'🎯 一鍵查詢'!$C$5),"")</f>
        <v/>
      </c>
    </row>
    <row r="1243">
      <c r="A1243" t="n">
        <v>47223</v>
      </c>
      <c r="B1243" t="n">
        <v>4722</v>
      </c>
      <c r="C1243">
        <f>IF(B1243='🎯 一鍵查詢'!$C$5,COUNTIF($B$2:B1243,'🎯 一鍵查詢'!$C$5),"")</f>
        <v/>
      </c>
    </row>
    <row r="1244">
      <c r="A1244" t="n">
        <v>47291</v>
      </c>
      <c r="B1244" t="n">
        <v>4729</v>
      </c>
      <c r="C1244">
        <f>IF(B1244='🎯 一鍵查詢'!$C$5,COUNTIF($B$2:B1244,'🎯 一鍵查詢'!$C$5),"")</f>
        <v/>
      </c>
    </row>
    <row r="1245">
      <c r="A1245" t="n">
        <v>47331</v>
      </c>
      <c r="B1245" t="n">
        <v>4733</v>
      </c>
      <c r="C1245">
        <f>IF(B1245='🎯 一鍵查詢'!$C$5,COUNTIF($B$2:B1245,'🎯 一鍵查詢'!$C$5),"")</f>
        <v/>
      </c>
    </row>
    <row r="1246">
      <c r="A1246" t="n">
        <v>47332</v>
      </c>
      <c r="B1246" t="n">
        <v>4733</v>
      </c>
      <c r="C1246">
        <f>IF(B1246='🎯 一鍵查詢'!$C$5,COUNTIF($B$2:B1246,'🎯 一鍵查詢'!$C$5),"")</f>
        <v/>
      </c>
    </row>
    <row r="1247">
      <c r="A1247" t="n">
        <v>47351</v>
      </c>
      <c r="B1247" t="n">
        <v>4735</v>
      </c>
      <c r="C1247">
        <f>IF(B1247='🎯 一鍵查詢'!$C$5,COUNTIF($B$2:B1247,'🎯 一鍵查詢'!$C$5),"")</f>
        <v/>
      </c>
    </row>
    <row r="1248">
      <c r="A1248" t="n">
        <v>47352</v>
      </c>
      <c r="B1248" t="n">
        <v>4735</v>
      </c>
      <c r="C1248">
        <f>IF(B1248='🎯 一鍵查詢'!$C$5,COUNTIF($B$2:B1248,'🎯 一鍵查詢'!$C$5),"")</f>
        <v/>
      </c>
    </row>
    <row r="1249">
      <c r="A1249" t="n">
        <v>47361</v>
      </c>
      <c r="B1249" t="n">
        <v>4736</v>
      </c>
      <c r="C1249">
        <f>IF(B1249='🎯 一鍵查詢'!$C$5,COUNTIF($B$2:B1249,'🎯 一鍵查詢'!$C$5),"")</f>
        <v/>
      </c>
    </row>
    <row r="1250">
      <c r="A1250" t="n">
        <v>47362</v>
      </c>
      <c r="B1250" t="n">
        <v>4736</v>
      </c>
      <c r="C1250">
        <f>IF(B1250='🎯 一鍵查詢'!$C$5,COUNTIF($B$2:B1250,'🎯 一鍵查詢'!$C$5),"")</f>
        <v/>
      </c>
    </row>
    <row r="1251">
      <c r="A1251" t="n">
        <v>47363</v>
      </c>
      <c r="B1251" t="n">
        <v>4736</v>
      </c>
      <c r="C1251">
        <f>IF(B1251='🎯 一鍵查詢'!$C$5,COUNTIF($B$2:B1251,'🎯 一鍵查詢'!$C$5),"")</f>
        <v/>
      </c>
    </row>
    <row r="1252">
      <c r="A1252" t="n">
        <v>47371</v>
      </c>
      <c r="B1252" t="n">
        <v>4737</v>
      </c>
      <c r="C1252">
        <f>IF(B1252='🎯 一鍵查詢'!$C$5,COUNTIF($B$2:B1252,'🎯 一鍵查詢'!$C$5),"")</f>
        <v/>
      </c>
    </row>
    <row r="1253">
      <c r="A1253" t="n">
        <v>47391</v>
      </c>
      <c r="B1253" t="n">
        <v>4739</v>
      </c>
      <c r="C1253">
        <f>IF(B1253='🎯 一鍵查詢'!$C$5,COUNTIF($B$2:B1253,'🎯 一鍵查詢'!$C$5),"")</f>
        <v/>
      </c>
    </row>
    <row r="1254">
      <c r="A1254" t="n">
        <v>47392</v>
      </c>
      <c r="B1254" t="n">
        <v>4739</v>
      </c>
      <c r="C1254">
        <f>IF(B1254='🎯 一鍵查詢'!$C$5,COUNTIF($B$2:B1254,'🎯 一鍵查詢'!$C$5),"")</f>
        <v/>
      </c>
    </row>
    <row r="1255">
      <c r="A1255" t="n">
        <v>47393</v>
      </c>
      <c r="B1255" t="n">
        <v>4739</v>
      </c>
      <c r="C1255">
        <f>IF(B1255='🎯 一鍵查詢'!$C$5,COUNTIF($B$2:B1255,'🎯 一鍵查詢'!$C$5),"")</f>
        <v/>
      </c>
    </row>
    <row r="1256">
      <c r="A1256" t="n">
        <v>47394</v>
      </c>
      <c r="B1256" t="n">
        <v>4739</v>
      </c>
      <c r="C1256">
        <f>IF(B1256='🎯 一鍵查詢'!$C$5,COUNTIF($B$2:B1256,'🎯 一鍵查詢'!$C$5),"")</f>
        <v/>
      </c>
    </row>
    <row r="1257">
      <c r="A1257" t="n">
        <v>47441</v>
      </c>
      <c r="B1257" t="n">
        <v>4744</v>
      </c>
      <c r="C1257">
        <f>IF(B1257='🎯 一鍵查詢'!$C$5,COUNTIF($B$2:B1257,'🎯 一鍵查詢'!$C$5),"")</f>
        <v/>
      </c>
    </row>
    <row r="1258">
      <c r="A1258" t="n">
        <v>47442</v>
      </c>
      <c r="B1258" t="n">
        <v>4744</v>
      </c>
      <c r="C1258">
        <f>IF(B1258='🎯 一鍵查詢'!$C$5,COUNTIF($B$2:B1258,'🎯 一鍵查詢'!$C$5),"")</f>
        <v/>
      </c>
    </row>
    <row r="1259">
      <c r="A1259" t="n">
        <v>47451</v>
      </c>
      <c r="B1259" t="n">
        <v>4745</v>
      </c>
      <c r="C1259">
        <f>IF(B1259='🎯 一鍵查詢'!$C$5,COUNTIF($B$2:B1259,'🎯 一鍵查詢'!$C$5),"")</f>
        <v/>
      </c>
    </row>
    <row r="1260">
      <c r="A1260" t="n">
        <v>47461</v>
      </c>
      <c r="B1260" t="n">
        <v>4746</v>
      </c>
      <c r="C1260">
        <f>IF(B1260='🎯 一鍵查詢'!$C$5,COUNTIF($B$2:B1260,'🎯 一鍵查詢'!$C$5),"")</f>
        <v/>
      </c>
    </row>
    <row r="1261">
      <c r="A1261" t="n">
        <v>47462</v>
      </c>
      <c r="B1261" t="n">
        <v>4746</v>
      </c>
      <c r="C1261">
        <f>IF(B1261='🎯 一鍵查詢'!$C$5,COUNTIF($B$2:B1261,'🎯 一鍵查詢'!$C$5),"")</f>
        <v/>
      </c>
    </row>
    <row r="1262">
      <c r="A1262" t="n">
        <v>47463</v>
      </c>
      <c r="B1262" t="n">
        <v>4746</v>
      </c>
      <c r="C1262">
        <f>IF(B1262='🎯 一鍵查詢'!$C$5,COUNTIF($B$2:B1262,'🎯 一鍵查詢'!$C$5),"")</f>
        <v/>
      </c>
    </row>
    <row r="1263">
      <c r="A1263" t="n">
        <v>47471</v>
      </c>
      <c r="B1263" t="n">
        <v>4747</v>
      </c>
      <c r="C1263">
        <f>IF(B1263='🎯 一鍵查詢'!$C$5,COUNTIF($B$2:B1263,'🎯 一鍵查詢'!$C$5),"")</f>
        <v/>
      </c>
    </row>
    <row r="1264">
      <c r="A1264" t="n">
        <v>47601</v>
      </c>
      <c r="B1264" t="n">
        <v>4760</v>
      </c>
      <c r="C1264">
        <f>IF(B1264='🎯 一鍵查詢'!$C$5,COUNTIF($B$2:B1264,'🎯 一鍵查詢'!$C$5),"")</f>
        <v/>
      </c>
    </row>
    <row r="1265">
      <c r="A1265" t="n">
        <v>47631</v>
      </c>
      <c r="B1265" t="n">
        <v>4763</v>
      </c>
      <c r="C1265">
        <f>IF(B1265='🎯 一鍵查詢'!$C$5,COUNTIF($B$2:B1265,'🎯 一鍵查詢'!$C$5),"")</f>
        <v/>
      </c>
    </row>
    <row r="1266">
      <c r="A1266" t="n">
        <v>47632</v>
      </c>
      <c r="B1266" t="n">
        <v>4763</v>
      </c>
      <c r="C1266">
        <f>IF(B1266='🎯 一鍵查詢'!$C$5,COUNTIF($B$2:B1266,'🎯 一鍵查詢'!$C$5),"")</f>
        <v/>
      </c>
    </row>
    <row r="1267">
      <c r="A1267" t="n">
        <v>47633</v>
      </c>
      <c r="B1267" t="n">
        <v>4763</v>
      </c>
      <c r="C1267">
        <f>IF(B1267='🎯 一鍵查詢'!$C$5,COUNTIF($B$2:B1267,'🎯 一鍵查詢'!$C$5),"")</f>
        <v/>
      </c>
    </row>
    <row r="1268">
      <c r="A1268" t="n">
        <v>47641</v>
      </c>
      <c r="B1268" t="n">
        <v>4764</v>
      </c>
      <c r="C1268">
        <f>IF(B1268='🎯 一鍵查詢'!$C$5,COUNTIF($B$2:B1268,'🎯 一鍵查詢'!$C$5),"")</f>
        <v/>
      </c>
    </row>
    <row r="1269">
      <c r="A1269" t="n">
        <v>47721</v>
      </c>
      <c r="B1269" t="n">
        <v>4772</v>
      </c>
      <c r="C1269">
        <f>IF(B1269='🎯 一鍵查詢'!$C$5,COUNTIF($B$2:B1269,'🎯 一鍵查詢'!$C$5),"")</f>
        <v/>
      </c>
    </row>
    <row r="1270">
      <c r="A1270" t="n">
        <v>48031</v>
      </c>
      <c r="B1270" t="n">
        <v>4803</v>
      </c>
      <c r="C1270">
        <f>IF(B1270='🎯 一鍵查詢'!$C$5,COUNTIF($B$2:B1270,'🎯 一鍵查詢'!$C$5),"")</f>
        <v/>
      </c>
    </row>
    <row r="1271">
      <c r="A1271" t="n">
        <v>48032</v>
      </c>
      <c r="B1271" t="n">
        <v>4803</v>
      </c>
      <c r="C1271">
        <f>IF(B1271='🎯 一鍵查詢'!$C$5,COUNTIF($B$2:B1271,'🎯 一鍵查詢'!$C$5),"")</f>
        <v/>
      </c>
    </row>
    <row r="1272">
      <c r="A1272" t="n">
        <v>48041</v>
      </c>
      <c r="B1272" t="n">
        <v>4804</v>
      </c>
      <c r="C1272">
        <f>IF(B1272='🎯 一鍵查詢'!$C$5,COUNTIF($B$2:B1272,'🎯 一鍵查詢'!$C$5),"")</f>
        <v/>
      </c>
    </row>
    <row r="1273">
      <c r="A1273" t="n">
        <v>48061</v>
      </c>
      <c r="B1273" t="n">
        <v>4806</v>
      </c>
      <c r="C1273">
        <f>IF(B1273='🎯 一鍵查詢'!$C$5,COUNTIF($B$2:B1273,'🎯 一鍵查詢'!$C$5),"")</f>
        <v/>
      </c>
    </row>
    <row r="1274">
      <c r="A1274" t="n">
        <v>48062</v>
      </c>
      <c r="B1274" t="n">
        <v>4806</v>
      </c>
      <c r="C1274">
        <f>IF(B1274='🎯 一鍵查詢'!$C$5,COUNTIF($B$2:B1274,'🎯 一鍵查詢'!$C$5),"")</f>
        <v/>
      </c>
    </row>
    <row r="1275">
      <c r="A1275" t="n">
        <v>48071</v>
      </c>
      <c r="B1275" t="n">
        <v>4807</v>
      </c>
      <c r="C1275">
        <f>IF(B1275='🎯 一鍵查詢'!$C$5,COUNTIF($B$2:B1275,'🎯 一鍵查詢'!$C$5),"")</f>
        <v/>
      </c>
    </row>
    <row r="1276">
      <c r="A1276" t="n">
        <v>49031</v>
      </c>
      <c r="B1276" t="n">
        <v>4903</v>
      </c>
      <c r="C1276">
        <f>IF(B1276='🎯 一鍵查詢'!$C$5,COUNTIF($B$2:B1276,'🎯 一鍵查詢'!$C$5),"")</f>
        <v/>
      </c>
    </row>
    <row r="1277">
      <c r="A1277" t="n">
        <v>49061</v>
      </c>
      <c r="B1277" t="n">
        <v>4906</v>
      </c>
      <c r="C1277">
        <f>IF(B1277='🎯 一鍵查詢'!$C$5,COUNTIF($B$2:B1277,'🎯 一鍵查詢'!$C$5),"")</f>
        <v/>
      </c>
    </row>
    <row r="1278">
      <c r="A1278" t="n">
        <v>49062</v>
      </c>
      <c r="B1278" t="n">
        <v>4906</v>
      </c>
      <c r="C1278">
        <f>IF(B1278='🎯 一鍵查詢'!$C$5,COUNTIF($B$2:B1278,'🎯 一鍵查詢'!$C$5),"")</f>
        <v/>
      </c>
    </row>
    <row r="1279">
      <c r="A1279" t="n">
        <v>49063</v>
      </c>
      <c r="B1279" t="n">
        <v>4906</v>
      </c>
      <c r="C1279">
        <f>IF(B1279='🎯 一鍵查詢'!$C$5,COUNTIF($B$2:B1279,'🎯 一鍵查詢'!$C$5),"")</f>
        <v/>
      </c>
    </row>
    <row r="1280">
      <c r="A1280" t="n">
        <v>49064</v>
      </c>
      <c r="B1280" t="n">
        <v>4906</v>
      </c>
      <c r="C1280">
        <f>IF(B1280='🎯 一鍵查詢'!$C$5,COUNTIF($B$2:B1280,'🎯 一鍵查詢'!$C$5),"")</f>
        <v/>
      </c>
    </row>
    <row r="1281">
      <c r="A1281" t="n">
        <v>49065</v>
      </c>
      <c r="B1281" t="n">
        <v>4906</v>
      </c>
      <c r="C1281">
        <f>IF(B1281='🎯 一鍵查詢'!$C$5,COUNTIF($B$2:B1281,'🎯 一鍵查詢'!$C$5),"")</f>
        <v/>
      </c>
    </row>
    <row r="1282">
      <c r="A1282" t="n">
        <v>49066</v>
      </c>
      <c r="B1282" t="n">
        <v>4906</v>
      </c>
      <c r="C1282">
        <f>IF(B1282='🎯 一鍵查詢'!$C$5,COUNTIF($B$2:B1282,'🎯 一鍵查詢'!$C$5),"")</f>
        <v/>
      </c>
    </row>
    <row r="1283">
      <c r="A1283" t="n">
        <v>49091</v>
      </c>
      <c r="B1283" t="n">
        <v>4909</v>
      </c>
      <c r="C1283">
        <f>IF(B1283='🎯 一鍵查詢'!$C$5,COUNTIF($B$2:B1283,'🎯 一鍵查詢'!$C$5),"")</f>
        <v/>
      </c>
    </row>
    <row r="1284">
      <c r="A1284" t="n">
        <v>49092</v>
      </c>
      <c r="B1284" t="n">
        <v>4909</v>
      </c>
      <c r="C1284">
        <f>IF(B1284='🎯 一鍵查詢'!$C$5,COUNTIF($B$2:B1284,'🎯 一鍵查詢'!$C$5),"")</f>
        <v/>
      </c>
    </row>
    <row r="1285">
      <c r="A1285" t="n">
        <v>49093</v>
      </c>
      <c r="B1285" t="n">
        <v>4909</v>
      </c>
      <c r="C1285">
        <f>IF(B1285='🎯 一鍵查詢'!$C$5,COUNTIF($B$2:B1285,'🎯 一鍵查詢'!$C$5),"")</f>
        <v/>
      </c>
    </row>
    <row r="1286">
      <c r="A1286" t="n">
        <v>49094</v>
      </c>
      <c r="B1286" t="n">
        <v>4909</v>
      </c>
      <c r="C1286">
        <f>IF(B1286='🎯 一鍵查詢'!$C$5,COUNTIF($B$2:B1286,'🎯 一鍵查詢'!$C$5),"")</f>
        <v/>
      </c>
    </row>
    <row r="1287">
      <c r="A1287" t="n">
        <v>49101</v>
      </c>
      <c r="B1287" t="n">
        <v>4910</v>
      </c>
      <c r="C1287">
        <f>IF(B1287='🎯 一鍵查詢'!$C$5,COUNTIF($B$2:B1287,'🎯 一鍵查詢'!$C$5),"")</f>
        <v/>
      </c>
    </row>
    <row r="1288">
      <c r="A1288" t="n">
        <v>49121</v>
      </c>
      <c r="B1288" t="n">
        <v>4912</v>
      </c>
      <c r="C1288">
        <f>IF(B1288='🎯 一鍵查詢'!$C$5,COUNTIF($B$2:B1288,'🎯 一鍵查詢'!$C$5),"")</f>
        <v/>
      </c>
    </row>
    <row r="1289">
      <c r="A1289" t="n">
        <v>49122</v>
      </c>
      <c r="B1289" t="n">
        <v>4912</v>
      </c>
      <c r="C1289">
        <f>IF(B1289='🎯 一鍵查詢'!$C$5,COUNTIF($B$2:B1289,'🎯 一鍵查詢'!$C$5),"")</f>
        <v/>
      </c>
    </row>
    <row r="1290">
      <c r="A1290" t="n">
        <v>49123</v>
      </c>
      <c r="B1290" t="n">
        <v>4912</v>
      </c>
      <c r="C1290">
        <f>IF(B1290='🎯 一鍵查詢'!$C$5,COUNTIF($B$2:B1290,'🎯 一鍵查詢'!$C$5),"")</f>
        <v/>
      </c>
    </row>
    <row r="1291">
      <c r="A1291" t="n">
        <v>49124</v>
      </c>
      <c r="B1291" t="n">
        <v>4912</v>
      </c>
      <c r="C1291">
        <f>IF(B1291='🎯 一鍵查詢'!$C$5,COUNTIF($B$2:B1291,'🎯 一鍵查詢'!$C$5),"")</f>
        <v/>
      </c>
    </row>
    <row r="1292">
      <c r="A1292" t="n">
        <v>49161</v>
      </c>
      <c r="B1292" t="n">
        <v>4916</v>
      </c>
      <c r="C1292">
        <f>IF(B1292='🎯 一鍵查詢'!$C$5,COUNTIF($B$2:B1292,'🎯 一鍵查詢'!$C$5),"")</f>
        <v/>
      </c>
    </row>
    <row r="1293">
      <c r="A1293" t="n">
        <v>49162</v>
      </c>
      <c r="B1293" t="n">
        <v>4916</v>
      </c>
      <c r="C1293">
        <f>IF(B1293='🎯 一鍵查詢'!$C$5,COUNTIF($B$2:B1293,'🎯 一鍵查詢'!$C$5),"")</f>
        <v/>
      </c>
    </row>
    <row r="1294">
      <c r="A1294" t="n">
        <v>49163</v>
      </c>
      <c r="B1294" t="n">
        <v>4916</v>
      </c>
      <c r="C1294">
        <f>IF(B1294='🎯 一鍵查詢'!$C$5,COUNTIF($B$2:B1294,'🎯 一鍵查詢'!$C$5),"")</f>
        <v/>
      </c>
    </row>
    <row r="1295">
      <c r="A1295" t="n">
        <v>49164</v>
      </c>
      <c r="B1295" t="n">
        <v>4916</v>
      </c>
      <c r="C1295">
        <f>IF(B1295='🎯 一鍵查詢'!$C$5,COUNTIF($B$2:B1295,'🎯 一鍵查詢'!$C$5),"")</f>
        <v/>
      </c>
    </row>
    <row r="1296">
      <c r="A1296" t="n">
        <v>49165</v>
      </c>
      <c r="B1296" t="n">
        <v>4916</v>
      </c>
      <c r="C1296">
        <f>IF(B1296='🎯 一鍵查詢'!$C$5,COUNTIF($B$2:B1296,'🎯 一鍵查詢'!$C$5),"")</f>
        <v/>
      </c>
    </row>
    <row r="1297">
      <c r="A1297" t="n">
        <v>49191</v>
      </c>
      <c r="B1297" t="n">
        <v>4919</v>
      </c>
      <c r="C1297">
        <f>IF(B1297='🎯 一鍵查詢'!$C$5,COUNTIF($B$2:B1297,'🎯 一鍵查詢'!$C$5),"")</f>
        <v/>
      </c>
    </row>
    <row r="1298">
      <c r="A1298" t="n">
        <v>49231</v>
      </c>
      <c r="B1298" t="n">
        <v>4923</v>
      </c>
      <c r="C1298">
        <f>IF(B1298='🎯 一鍵查詢'!$C$5,COUNTIF($B$2:B1298,'🎯 一鍵查詢'!$C$5),"")</f>
        <v/>
      </c>
    </row>
    <row r="1299">
      <c r="A1299" t="n">
        <v>49241</v>
      </c>
      <c r="B1299" t="n">
        <v>4924</v>
      </c>
      <c r="C1299">
        <f>IF(B1299='🎯 一鍵查詢'!$C$5,COUNTIF($B$2:B1299,'🎯 一鍵查詢'!$C$5),"")</f>
        <v/>
      </c>
    </row>
    <row r="1300">
      <c r="A1300" t="n">
        <v>49271</v>
      </c>
      <c r="B1300" t="n">
        <v>4927</v>
      </c>
      <c r="C1300">
        <f>IF(B1300='🎯 一鍵查詢'!$C$5,COUNTIF($B$2:B1300,'🎯 一鍵查詢'!$C$5),"")</f>
        <v/>
      </c>
    </row>
    <row r="1301">
      <c r="A1301" t="n">
        <v>49272</v>
      </c>
      <c r="B1301" t="n">
        <v>4927</v>
      </c>
      <c r="C1301">
        <f>IF(B1301='🎯 一鍵查詢'!$C$5,COUNTIF($B$2:B1301,'🎯 一鍵查詢'!$C$5),"")</f>
        <v/>
      </c>
    </row>
    <row r="1302">
      <c r="A1302" t="n">
        <v>49273</v>
      </c>
      <c r="B1302" t="n">
        <v>4927</v>
      </c>
      <c r="C1302">
        <f>IF(B1302='🎯 一鍵查詢'!$C$5,COUNTIF($B$2:B1302,'🎯 一鍵查詢'!$C$5),"")</f>
        <v/>
      </c>
    </row>
    <row r="1303">
      <c r="A1303" t="n">
        <v>49331</v>
      </c>
      <c r="B1303" t="n">
        <v>4933</v>
      </c>
      <c r="C1303">
        <f>IF(B1303='🎯 一鍵查詢'!$C$5,COUNTIF($B$2:B1303,'🎯 一鍵查詢'!$C$5),"")</f>
        <v/>
      </c>
    </row>
    <row r="1304">
      <c r="A1304" t="n">
        <v>49391</v>
      </c>
      <c r="B1304" t="n">
        <v>4939</v>
      </c>
      <c r="C1304">
        <f>IF(B1304='🎯 一鍵查詢'!$C$5,COUNTIF($B$2:B1304,'🎯 一鍵查詢'!$C$5),"")</f>
        <v/>
      </c>
    </row>
    <row r="1305">
      <c r="A1305" t="n">
        <v>49392</v>
      </c>
      <c r="B1305" t="n">
        <v>4939</v>
      </c>
      <c r="C1305">
        <f>IF(B1305='🎯 一鍵查詢'!$C$5,COUNTIF($B$2:B1305,'🎯 一鍵查詢'!$C$5),"")</f>
        <v/>
      </c>
    </row>
    <row r="1306">
      <c r="A1306" t="n">
        <v>49431</v>
      </c>
      <c r="B1306" t="n">
        <v>4943</v>
      </c>
      <c r="C1306">
        <f>IF(B1306='🎯 一鍵查詢'!$C$5,COUNTIF($B$2:B1306,'🎯 一鍵查詢'!$C$5),"")</f>
        <v/>
      </c>
    </row>
    <row r="1307">
      <c r="A1307" t="n">
        <v>49441</v>
      </c>
      <c r="B1307" t="n">
        <v>4944</v>
      </c>
      <c r="C1307">
        <f>IF(B1307='🎯 一鍵查詢'!$C$5,COUNTIF($B$2:B1307,'🎯 一鍵查詢'!$C$5),"")</f>
        <v/>
      </c>
    </row>
    <row r="1308">
      <c r="A1308" t="n">
        <v>49561</v>
      </c>
      <c r="B1308" t="n">
        <v>4956</v>
      </c>
      <c r="C1308">
        <f>IF(B1308='🎯 一鍵查詢'!$C$5,COUNTIF($B$2:B1308,'🎯 一鍵查詢'!$C$5),"")</f>
        <v/>
      </c>
    </row>
    <row r="1309">
      <c r="A1309" t="n">
        <v>49671</v>
      </c>
      <c r="B1309" t="n">
        <v>4967</v>
      </c>
      <c r="C1309">
        <f>IF(B1309='🎯 一鍵查詢'!$C$5,COUNTIF($B$2:B1309,'🎯 一鍵查詢'!$C$5),"")</f>
        <v/>
      </c>
    </row>
    <row r="1310">
      <c r="A1310" t="n">
        <v>49672</v>
      </c>
      <c r="B1310" t="n">
        <v>4967</v>
      </c>
      <c r="C1310">
        <f>IF(B1310='🎯 一鍵查詢'!$C$5,COUNTIF($B$2:B1310,'🎯 一鍵查詢'!$C$5),"")</f>
        <v/>
      </c>
    </row>
    <row r="1311">
      <c r="A1311" t="n">
        <v>49673</v>
      </c>
      <c r="B1311" t="n">
        <v>4967</v>
      </c>
      <c r="C1311">
        <f>IF(B1311='🎯 一鍵查詢'!$C$5,COUNTIF($B$2:B1311,'🎯 一鍵查詢'!$C$5),"")</f>
        <v/>
      </c>
    </row>
    <row r="1312">
      <c r="A1312" t="n">
        <v>49674</v>
      </c>
      <c r="B1312" t="n">
        <v>4967</v>
      </c>
      <c r="C1312">
        <f>IF(B1312='🎯 一鍵查詢'!$C$5,COUNTIF($B$2:B1312,'🎯 一鍵查詢'!$C$5),"")</f>
        <v/>
      </c>
    </row>
    <row r="1313">
      <c r="A1313" t="n">
        <v>49681</v>
      </c>
      <c r="B1313" t="n">
        <v>4968</v>
      </c>
      <c r="C1313">
        <f>IF(B1313='🎯 一鍵查詢'!$C$5,COUNTIF($B$2:B1313,'🎯 一鍵查詢'!$C$5),"")</f>
        <v/>
      </c>
    </row>
    <row r="1314">
      <c r="A1314" t="n">
        <v>49711</v>
      </c>
      <c r="B1314" t="n">
        <v>4971</v>
      </c>
      <c r="C1314">
        <f>IF(B1314='🎯 一鍵查詢'!$C$5,COUNTIF($B$2:B1314,'🎯 一鍵查詢'!$C$5),"")</f>
        <v/>
      </c>
    </row>
    <row r="1315">
      <c r="A1315" t="n">
        <v>49712</v>
      </c>
      <c r="B1315" t="n">
        <v>4971</v>
      </c>
      <c r="C1315">
        <f>IF(B1315='🎯 一鍵查詢'!$C$5,COUNTIF($B$2:B1315,'🎯 一鍵查詢'!$C$5),"")</f>
        <v/>
      </c>
    </row>
    <row r="1316">
      <c r="A1316" t="n">
        <v>49741</v>
      </c>
      <c r="B1316" t="n">
        <v>4974</v>
      </c>
      <c r="C1316">
        <f>IF(B1316='🎯 一鍵查詢'!$C$5,COUNTIF($B$2:B1316,'🎯 一鍵查詢'!$C$5),"")</f>
        <v/>
      </c>
    </row>
    <row r="1317">
      <c r="A1317" t="n">
        <v>49742</v>
      </c>
      <c r="B1317" t="n">
        <v>4974</v>
      </c>
      <c r="C1317">
        <f>IF(B1317='🎯 一鍵查詢'!$C$5,COUNTIF($B$2:B1317,'🎯 一鍵查詢'!$C$5),"")</f>
        <v/>
      </c>
    </row>
    <row r="1318">
      <c r="A1318" t="n">
        <v>49771</v>
      </c>
      <c r="B1318" t="n">
        <v>4977</v>
      </c>
      <c r="C1318">
        <f>IF(B1318='🎯 一鍵查詢'!$C$5,COUNTIF($B$2:B1318,'🎯 一鍵查詢'!$C$5),"")</f>
        <v/>
      </c>
    </row>
    <row r="1319">
      <c r="A1319" t="n">
        <v>49791</v>
      </c>
      <c r="B1319" t="n">
        <v>4979</v>
      </c>
      <c r="C1319">
        <f>IF(B1319='🎯 一鍵查詢'!$C$5,COUNTIF($B$2:B1319,'🎯 一鍵查詢'!$C$5),"")</f>
        <v/>
      </c>
    </row>
    <row r="1320">
      <c r="A1320" t="n">
        <v>49792</v>
      </c>
      <c r="B1320" t="n">
        <v>4979</v>
      </c>
      <c r="C1320">
        <f>IF(B1320='🎯 一鍵查詢'!$C$5,COUNTIF($B$2:B1320,'🎯 一鍵查詢'!$C$5),"")</f>
        <v/>
      </c>
    </row>
    <row r="1321">
      <c r="A1321" t="n">
        <v>49793</v>
      </c>
      <c r="B1321" t="n">
        <v>4979</v>
      </c>
      <c r="C1321">
        <f>IF(B1321='🎯 一鍵查詢'!$C$5,COUNTIF($B$2:B1321,'🎯 一鍵查詢'!$C$5),"")</f>
        <v/>
      </c>
    </row>
    <row r="1322">
      <c r="A1322" t="n">
        <v>49794</v>
      </c>
      <c r="B1322" t="n">
        <v>4979</v>
      </c>
      <c r="C1322">
        <f>IF(B1322='🎯 一鍵查詢'!$C$5,COUNTIF($B$2:B1322,'🎯 一鍵查詢'!$C$5),"")</f>
        <v/>
      </c>
    </row>
    <row r="1323">
      <c r="A1323" t="n">
        <v>49911</v>
      </c>
      <c r="B1323" t="n">
        <v>4991</v>
      </c>
      <c r="C1323">
        <f>IF(B1323='🎯 一鍵查詢'!$C$5,COUNTIF($B$2:B1323,'🎯 一鍵查詢'!$C$5),"")</f>
        <v/>
      </c>
    </row>
    <row r="1324">
      <c r="A1324" t="n">
        <v>49912</v>
      </c>
      <c r="B1324" t="n">
        <v>4991</v>
      </c>
      <c r="C1324">
        <f>IF(B1324='🎯 一鍵查詢'!$C$5,COUNTIF($B$2:B1324,'🎯 一鍵查詢'!$C$5),"")</f>
        <v/>
      </c>
    </row>
    <row r="1325">
      <c r="A1325" t="n">
        <v>49951</v>
      </c>
      <c r="B1325" t="n">
        <v>4995</v>
      </c>
      <c r="C1325">
        <f>IF(B1325='🎯 一鍵查詢'!$C$5,COUNTIF($B$2:B1325,'🎯 一鍵查詢'!$C$5),"")</f>
        <v/>
      </c>
    </row>
    <row r="1326">
      <c r="A1326" t="n">
        <v>50091</v>
      </c>
      <c r="B1326" t="n">
        <v>5009</v>
      </c>
      <c r="C1326">
        <f>IF(B1326='🎯 一鍵查詢'!$C$5,COUNTIF($B$2:B1326,'🎯 一鍵查詢'!$C$5),"")</f>
        <v/>
      </c>
    </row>
    <row r="1327">
      <c r="A1327" t="n">
        <v>50092</v>
      </c>
      <c r="B1327" t="n">
        <v>5009</v>
      </c>
      <c r="C1327">
        <f>IF(B1327='🎯 一鍵查詢'!$C$5,COUNTIF($B$2:B1327,'🎯 一鍵查詢'!$C$5),"")</f>
        <v/>
      </c>
    </row>
    <row r="1328">
      <c r="A1328" t="n">
        <v>50093</v>
      </c>
      <c r="B1328" t="n">
        <v>5009</v>
      </c>
      <c r="C1328">
        <f>IF(B1328='🎯 一鍵查詢'!$C$5,COUNTIF($B$2:B1328,'🎯 一鍵查詢'!$C$5),"")</f>
        <v/>
      </c>
    </row>
    <row r="1329">
      <c r="A1329" t="n">
        <v>50094</v>
      </c>
      <c r="B1329" t="n">
        <v>5009</v>
      </c>
      <c r="C1329">
        <f>IF(B1329='🎯 一鍵查詢'!$C$5,COUNTIF($B$2:B1329,'🎯 一鍵查詢'!$C$5),"")</f>
        <v/>
      </c>
    </row>
    <row r="1330">
      <c r="A1330" t="n">
        <v>50095</v>
      </c>
      <c r="B1330" t="n">
        <v>5009</v>
      </c>
      <c r="C1330">
        <f>IF(B1330='🎯 一鍵查詢'!$C$5,COUNTIF($B$2:B1330,'🎯 一鍵查詢'!$C$5),"")</f>
        <v/>
      </c>
    </row>
    <row r="1331">
      <c r="A1331" t="n">
        <v>50096</v>
      </c>
      <c r="B1331" t="n">
        <v>5009</v>
      </c>
      <c r="C1331">
        <f>IF(B1331='🎯 一鍵查詢'!$C$5,COUNTIF($B$2:B1331,'🎯 一鍵查詢'!$C$5),"")</f>
        <v/>
      </c>
    </row>
    <row r="1332">
      <c r="A1332" t="n">
        <v>50097</v>
      </c>
      <c r="B1332" t="n">
        <v>5009</v>
      </c>
      <c r="C1332">
        <f>IF(B1332='🎯 一鍵查詢'!$C$5,COUNTIF($B$2:B1332,'🎯 一鍵查詢'!$C$5),"")</f>
        <v/>
      </c>
    </row>
    <row r="1333">
      <c r="A1333" t="n">
        <v>50111</v>
      </c>
      <c r="B1333" t="n">
        <v>5011</v>
      </c>
      <c r="C1333">
        <f>IF(B1333='🎯 一鍵查詢'!$C$5,COUNTIF($B$2:B1333,'🎯 一鍵查詢'!$C$5),"")</f>
        <v/>
      </c>
    </row>
    <row r="1334">
      <c r="A1334" t="n">
        <v>50112</v>
      </c>
      <c r="B1334" t="n">
        <v>5011</v>
      </c>
      <c r="C1334">
        <f>IF(B1334='🎯 一鍵查詢'!$C$5,COUNTIF($B$2:B1334,'🎯 一鍵查詢'!$C$5),"")</f>
        <v/>
      </c>
    </row>
    <row r="1335">
      <c r="A1335" t="n">
        <v>50113</v>
      </c>
      <c r="B1335" t="n">
        <v>5011</v>
      </c>
      <c r="C1335">
        <f>IF(B1335='🎯 一鍵查詢'!$C$5,COUNTIF($B$2:B1335,'🎯 一鍵查詢'!$C$5),"")</f>
        <v/>
      </c>
    </row>
    <row r="1336">
      <c r="A1336" t="n">
        <v>50114</v>
      </c>
      <c r="B1336" t="n">
        <v>5011</v>
      </c>
      <c r="C1336">
        <f>IF(B1336='🎯 一鍵查詢'!$C$5,COUNTIF($B$2:B1336,'🎯 一鍵查詢'!$C$5),"")</f>
        <v/>
      </c>
    </row>
    <row r="1337">
      <c r="A1337" t="n">
        <v>50141</v>
      </c>
      <c r="B1337" t="n">
        <v>5014</v>
      </c>
      <c r="C1337">
        <f>IF(B1337='🎯 一鍵查詢'!$C$5,COUNTIF($B$2:B1337,'🎯 一鍵查詢'!$C$5),"")</f>
        <v/>
      </c>
    </row>
    <row r="1338">
      <c r="A1338" t="n">
        <v>50151</v>
      </c>
      <c r="B1338" t="n">
        <v>5015</v>
      </c>
      <c r="C1338">
        <f>IF(B1338='🎯 一鍵查詢'!$C$5,COUNTIF($B$2:B1338,'🎯 一鍵查詢'!$C$5),"")</f>
        <v/>
      </c>
    </row>
    <row r="1339">
      <c r="A1339" t="n">
        <v>52011</v>
      </c>
      <c r="B1339" t="n">
        <v>5201</v>
      </c>
      <c r="C1339">
        <f>IF(B1339='🎯 一鍵查詢'!$C$5,COUNTIF($B$2:B1339,'🎯 一鍵查詢'!$C$5),"")</f>
        <v/>
      </c>
    </row>
    <row r="1340">
      <c r="A1340" t="n">
        <v>52031</v>
      </c>
      <c r="B1340" t="n">
        <v>5203</v>
      </c>
      <c r="C1340">
        <f>IF(B1340='🎯 一鍵查詢'!$C$5,COUNTIF($B$2:B1340,'🎯 一鍵查詢'!$C$5),"")</f>
        <v/>
      </c>
    </row>
    <row r="1341">
      <c r="A1341" t="n">
        <v>52041</v>
      </c>
      <c r="B1341" t="n">
        <v>5204</v>
      </c>
      <c r="C1341">
        <f>IF(B1341='🎯 一鍵查詢'!$C$5,COUNTIF($B$2:B1341,'🎯 一鍵查詢'!$C$5),"")</f>
        <v/>
      </c>
    </row>
    <row r="1342">
      <c r="A1342" t="n">
        <v>52071</v>
      </c>
      <c r="B1342" t="n">
        <v>5207</v>
      </c>
      <c r="C1342">
        <f>IF(B1342='🎯 一鍵查詢'!$C$5,COUNTIF($B$2:B1342,'🎯 一鍵查詢'!$C$5),"")</f>
        <v/>
      </c>
    </row>
    <row r="1343">
      <c r="A1343" t="n">
        <v>52091</v>
      </c>
      <c r="B1343" t="n">
        <v>5209</v>
      </c>
      <c r="C1343">
        <f>IF(B1343='🎯 一鍵查詢'!$C$5,COUNTIF($B$2:B1343,'🎯 一鍵查詢'!$C$5),"")</f>
        <v/>
      </c>
    </row>
    <row r="1344">
      <c r="A1344" t="n">
        <v>52111</v>
      </c>
      <c r="B1344" t="n">
        <v>5211</v>
      </c>
      <c r="C1344">
        <f>IF(B1344='🎯 一鍵查詢'!$C$5,COUNTIF($B$2:B1344,'🎯 一鍵查詢'!$C$5),"")</f>
        <v/>
      </c>
    </row>
    <row r="1345">
      <c r="A1345" t="n">
        <v>52121</v>
      </c>
      <c r="B1345" t="n">
        <v>5212</v>
      </c>
      <c r="C1345">
        <f>IF(B1345='🎯 一鍵查詢'!$C$5,COUNTIF($B$2:B1345,'🎯 一鍵查詢'!$C$5),"")</f>
        <v/>
      </c>
    </row>
    <row r="1346">
      <c r="A1346" t="n">
        <v>52131</v>
      </c>
      <c r="B1346" t="n">
        <v>5213</v>
      </c>
      <c r="C1346">
        <f>IF(B1346='🎯 一鍵查詢'!$C$5,COUNTIF($B$2:B1346,'🎯 一鍵查詢'!$C$5),"")</f>
        <v/>
      </c>
    </row>
    <row r="1347">
      <c r="A1347" t="n">
        <v>52132</v>
      </c>
      <c r="B1347" t="n">
        <v>5213</v>
      </c>
      <c r="C1347">
        <f>IF(B1347='🎯 一鍵查詢'!$C$5,COUNTIF($B$2:B1347,'🎯 一鍵查詢'!$C$5),"")</f>
        <v/>
      </c>
    </row>
    <row r="1348">
      <c r="A1348" t="n">
        <v>52133</v>
      </c>
      <c r="B1348" t="n">
        <v>5213</v>
      </c>
      <c r="C1348">
        <f>IF(B1348='🎯 一鍵查詢'!$C$5,COUNTIF($B$2:B1348,'🎯 一鍵查詢'!$C$5),"")</f>
        <v/>
      </c>
    </row>
    <row r="1349">
      <c r="A1349" t="n">
        <v>52134</v>
      </c>
      <c r="B1349" t="n">
        <v>5213</v>
      </c>
      <c r="C1349">
        <f>IF(B1349='🎯 一鍵查詢'!$C$5,COUNTIF($B$2:B1349,'🎯 一鍵查詢'!$C$5),"")</f>
        <v/>
      </c>
    </row>
    <row r="1350">
      <c r="A1350" t="n">
        <v>52135</v>
      </c>
      <c r="B1350" t="n">
        <v>5213</v>
      </c>
      <c r="C1350">
        <f>IF(B1350='🎯 一鍵查詢'!$C$5,COUNTIF($B$2:B1350,'🎯 一鍵查詢'!$C$5),"")</f>
        <v/>
      </c>
    </row>
    <row r="1351">
      <c r="A1351" t="n">
        <v>52136</v>
      </c>
      <c r="B1351" t="n">
        <v>5213</v>
      </c>
      <c r="C1351">
        <f>IF(B1351='🎯 一鍵查詢'!$C$5,COUNTIF($B$2:B1351,'🎯 一鍵查詢'!$C$5),"")</f>
        <v/>
      </c>
    </row>
    <row r="1352">
      <c r="A1352" t="n">
        <v>52137</v>
      </c>
      <c r="B1352" t="n">
        <v>5213</v>
      </c>
      <c r="C1352">
        <f>IF(B1352='🎯 一鍵查詢'!$C$5,COUNTIF($B$2:B1352,'🎯 一鍵查詢'!$C$5),"")</f>
        <v/>
      </c>
    </row>
    <row r="1353">
      <c r="A1353" t="n">
        <v>52151</v>
      </c>
      <c r="B1353" t="n">
        <v>5215</v>
      </c>
      <c r="C1353">
        <f>IF(B1353='🎯 一鍵查詢'!$C$5,COUNTIF($B$2:B1353,'🎯 一鍵查詢'!$C$5),"")</f>
        <v/>
      </c>
    </row>
    <row r="1354">
      <c r="A1354" t="n">
        <v>52231</v>
      </c>
      <c r="B1354" t="n">
        <v>5223</v>
      </c>
      <c r="C1354">
        <f>IF(B1354='🎯 一鍵查詢'!$C$5,COUNTIF($B$2:B1354,'🎯 一鍵查詢'!$C$5),"")</f>
        <v/>
      </c>
    </row>
    <row r="1355">
      <c r="A1355" t="n">
        <v>52251</v>
      </c>
      <c r="B1355" t="n">
        <v>5225</v>
      </c>
      <c r="C1355">
        <f>IF(B1355='🎯 一鍵查詢'!$C$5,COUNTIF($B$2:B1355,'🎯 一鍵查詢'!$C$5),"")</f>
        <v/>
      </c>
    </row>
    <row r="1356">
      <c r="A1356" t="n">
        <v>52301</v>
      </c>
      <c r="B1356" t="n">
        <v>5230</v>
      </c>
      <c r="C1356">
        <f>IF(B1356='🎯 一鍵查詢'!$C$5,COUNTIF($B$2:B1356,'🎯 一鍵查詢'!$C$5),"")</f>
        <v/>
      </c>
    </row>
    <row r="1357">
      <c r="A1357" t="n">
        <v>52302</v>
      </c>
      <c r="B1357" t="n">
        <v>5230</v>
      </c>
      <c r="C1357">
        <f>IF(B1357='🎯 一鍵查詢'!$C$5,COUNTIF($B$2:B1357,'🎯 一鍵查詢'!$C$5),"")</f>
        <v/>
      </c>
    </row>
    <row r="1358">
      <c r="A1358" t="n">
        <v>52303</v>
      </c>
      <c r="B1358" t="n">
        <v>5230</v>
      </c>
      <c r="C1358">
        <f>IF(B1358='🎯 一鍵查詢'!$C$5,COUNTIF($B$2:B1358,'🎯 一鍵查詢'!$C$5),"")</f>
        <v/>
      </c>
    </row>
    <row r="1359">
      <c r="A1359" t="n">
        <v>52441</v>
      </c>
      <c r="B1359" t="n">
        <v>5244</v>
      </c>
      <c r="C1359">
        <f>IF(B1359='🎯 一鍵查詢'!$C$5,COUNTIF($B$2:B1359,'🎯 一鍵查詢'!$C$5),"")</f>
        <v/>
      </c>
    </row>
    <row r="1360">
      <c r="A1360" t="n">
        <v>52451</v>
      </c>
      <c r="B1360" t="n">
        <v>5245</v>
      </c>
      <c r="C1360">
        <f>IF(B1360='🎯 一鍵查詢'!$C$5,COUNTIF($B$2:B1360,'🎯 一鍵查詢'!$C$5),"")</f>
        <v/>
      </c>
    </row>
    <row r="1361">
      <c r="A1361" t="n">
        <v>52452</v>
      </c>
      <c r="B1361" t="n">
        <v>5245</v>
      </c>
      <c r="C1361">
        <f>IF(B1361='🎯 一鍵查詢'!$C$5,COUNTIF($B$2:B1361,'🎯 一鍵查詢'!$C$5),"")</f>
        <v/>
      </c>
    </row>
    <row r="1362">
      <c r="A1362" t="n">
        <v>52551</v>
      </c>
      <c r="B1362" t="n">
        <v>5255</v>
      </c>
      <c r="C1362">
        <f>IF(B1362='🎯 一鍵查詢'!$C$5,COUNTIF($B$2:B1362,'🎯 一鍵查詢'!$C$5),"")</f>
        <v/>
      </c>
    </row>
    <row r="1363">
      <c r="A1363" t="n">
        <v>52591</v>
      </c>
      <c r="B1363" t="n">
        <v>5259</v>
      </c>
      <c r="C1363">
        <f>IF(B1363='🎯 一鍵查詢'!$C$5,COUNTIF($B$2:B1363,'🎯 一鍵查詢'!$C$5),"")</f>
        <v/>
      </c>
    </row>
    <row r="1364">
      <c r="A1364" t="n">
        <v>52631</v>
      </c>
      <c r="B1364" t="n">
        <v>5263</v>
      </c>
      <c r="C1364">
        <f>IF(B1364='🎯 一鍵查詢'!$C$5,COUNTIF($B$2:B1364,'🎯 一鍵查詢'!$C$5),"")</f>
        <v/>
      </c>
    </row>
    <row r="1365">
      <c r="A1365" t="n">
        <v>52632</v>
      </c>
      <c r="B1365" t="n">
        <v>5263</v>
      </c>
      <c r="C1365">
        <f>IF(B1365='🎯 一鍵查詢'!$C$5,COUNTIF($B$2:B1365,'🎯 一鍵查詢'!$C$5),"")</f>
        <v/>
      </c>
    </row>
    <row r="1366">
      <c r="A1366" t="n">
        <v>52633</v>
      </c>
      <c r="B1366" t="n">
        <v>5263</v>
      </c>
      <c r="C1366">
        <f>IF(B1366='🎯 一鍵查詢'!$C$5,COUNTIF($B$2:B1366,'🎯 一鍵查詢'!$C$5),"")</f>
        <v/>
      </c>
    </row>
    <row r="1367">
      <c r="A1367" t="n">
        <v>52634</v>
      </c>
      <c r="B1367" t="n">
        <v>5263</v>
      </c>
      <c r="C1367">
        <f>IF(B1367='🎯 一鍵查詢'!$C$5,COUNTIF($B$2:B1367,'🎯 一鍵查詢'!$C$5),"")</f>
        <v/>
      </c>
    </row>
    <row r="1368">
      <c r="A1368" t="n">
        <v>52635</v>
      </c>
      <c r="B1368" t="n">
        <v>5263</v>
      </c>
      <c r="C1368">
        <f>IF(B1368='🎯 一鍵查詢'!$C$5,COUNTIF($B$2:B1368,'🎯 一鍵查詢'!$C$5),"")</f>
        <v/>
      </c>
    </row>
    <row r="1369">
      <c r="A1369" t="n">
        <v>52811</v>
      </c>
      <c r="B1369" t="n">
        <v>5281</v>
      </c>
      <c r="C1369">
        <f>IF(B1369='🎯 一鍵查詢'!$C$5,COUNTIF($B$2:B1369,'🎯 一鍵查詢'!$C$5),"")</f>
        <v/>
      </c>
    </row>
    <row r="1370">
      <c r="A1370" t="n">
        <v>52841</v>
      </c>
      <c r="B1370" t="n">
        <v>5284</v>
      </c>
      <c r="C1370">
        <f>IF(B1370='🎯 一鍵查詢'!$C$5,COUNTIF($B$2:B1370,'🎯 一鍵查詢'!$C$5),"")</f>
        <v/>
      </c>
    </row>
    <row r="1371">
      <c r="A1371" t="n">
        <v>52842</v>
      </c>
      <c r="B1371" t="n">
        <v>5284</v>
      </c>
      <c r="C1371">
        <f>IF(B1371='🎯 一鍵查詢'!$C$5,COUNTIF($B$2:B1371,'🎯 一鍵查詢'!$C$5),"")</f>
        <v/>
      </c>
    </row>
    <row r="1372">
      <c r="A1372" t="n">
        <v>52843</v>
      </c>
      <c r="B1372" t="n">
        <v>5284</v>
      </c>
      <c r="C1372">
        <f>IF(B1372='🎯 一鍵查詢'!$C$5,COUNTIF($B$2:B1372,'🎯 一鍵查詢'!$C$5),"")</f>
        <v/>
      </c>
    </row>
    <row r="1373">
      <c r="A1373" t="n">
        <v>52851</v>
      </c>
      <c r="B1373" t="n">
        <v>5285</v>
      </c>
      <c r="C1373">
        <f>IF(B1373='🎯 一鍵查詢'!$C$5,COUNTIF($B$2:B1373,'🎯 一鍵查詢'!$C$5),"")</f>
        <v/>
      </c>
    </row>
    <row r="1374">
      <c r="A1374" t="n">
        <v>52852</v>
      </c>
      <c r="B1374" t="n">
        <v>5285</v>
      </c>
      <c r="C1374">
        <f>IF(B1374='🎯 一鍵查詢'!$C$5,COUNTIF($B$2:B1374,'🎯 一鍵查詢'!$C$5),"")</f>
        <v/>
      </c>
    </row>
    <row r="1375">
      <c r="A1375" t="n">
        <v>52881</v>
      </c>
      <c r="B1375" t="n">
        <v>5288</v>
      </c>
      <c r="C1375">
        <f>IF(B1375='🎯 一鍵查詢'!$C$5,COUNTIF($B$2:B1375,'🎯 一鍵查詢'!$C$5),"")</f>
        <v/>
      </c>
    </row>
    <row r="1376">
      <c r="A1376" t="n">
        <v>52891</v>
      </c>
      <c r="B1376" t="n">
        <v>5289</v>
      </c>
      <c r="C1376">
        <f>IF(B1376='🎯 一鍵查詢'!$C$5,COUNTIF($B$2:B1376,'🎯 一鍵查詢'!$C$5),"")</f>
        <v/>
      </c>
    </row>
    <row r="1377">
      <c r="A1377" t="n">
        <v>52911</v>
      </c>
      <c r="B1377" t="n">
        <v>5291</v>
      </c>
      <c r="C1377">
        <f>IF(B1377='🎯 一鍵查詢'!$C$5,COUNTIF($B$2:B1377,'🎯 一鍵查詢'!$C$5),"")</f>
        <v/>
      </c>
    </row>
    <row r="1378">
      <c r="A1378" t="n">
        <v>53061</v>
      </c>
      <c r="B1378" t="n">
        <v>5306</v>
      </c>
      <c r="C1378">
        <f>IF(B1378='🎯 一鍵查詢'!$C$5,COUNTIF($B$2:B1378,'🎯 一鍵查詢'!$C$5),"")</f>
        <v/>
      </c>
    </row>
    <row r="1379">
      <c r="A1379" t="n">
        <v>53063</v>
      </c>
      <c r="B1379" t="n">
        <v>5306</v>
      </c>
      <c r="C1379">
        <f>IF(B1379='🎯 一鍵查詢'!$C$5,COUNTIF($B$2:B1379,'🎯 一鍵查詢'!$C$5),"")</f>
        <v/>
      </c>
    </row>
    <row r="1380">
      <c r="A1380" t="n">
        <v>53064</v>
      </c>
      <c r="B1380" t="n">
        <v>5306</v>
      </c>
      <c r="C1380">
        <f>IF(B1380='🎯 一鍵查詢'!$C$5,COUNTIF($B$2:B1380,'🎯 一鍵查詢'!$C$5),"")</f>
        <v/>
      </c>
    </row>
    <row r="1381">
      <c r="A1381" t="n">
        <v>53091</v>
      </c>
      <c r="B1381" t="n">
        <v>5309</v>
      </c>
      <c r="C1381">
        <f>IF(B1381='🎯 一鍵查詢'!$C$5,COUNTIF($B$2:B1381,'🎯 一鍵查詢'!$C$5),"")</f>
        <v/>
      </c>
    </row>
    <row r="1382">
      <c r="A1382" t="n">
        <v>53092</v>
      </c>
      <c r="B1382" t="n">
        <v>5309</v>
      </c>
      <c r="C1382">
        <f>IF(B1382='🎯 一鍵查詢'!$C$5,COUNTIF($B$2:B1382,'🎯 一鍵查詢'!$C$5),"")</f>
        <v/>
      </c>
    </row>
    <row r="1383">
      <c r="A1383" t="n">
        <v>53093</v>
      </c>
      <c r="B1383" t="n">
        <v>5309</v>
      </c>
      <c r="C1383">
        <f>IF(B1383='🎯 一鍵查詢'!$C$5,COUNTIF($B$2:B1383,'🎯 一鍵查詢'!$C$5),"")</f>
        <v/>
      </c>
    </row>
    <row r="1384">
      <c r="A1384" t="n">
        <v>53094</v>
      </c>
      <c r="B1384" t="n">
        <v>5309</v>
      </c>
      <c r="C1384">
        <f>IF(B1384='🎯 一鍵查詢'!$C$5,COUNTIF($B$2:B1384,'🎯 一鍵查詢'!$C$5),"")</f>
        <v/>
      </c>
    </row>
    <row r="1385">
      <c r="A1385" t="n">
        <v>53095</v>
      </c>
      <c r="B1385" t="n">
        <v>5309</v>
      </c>
      <c r="C1385">
        <f>IF(B1385='🎯 一鍵查詢'!$C$5,COUNTIF($B$2:B1385,'🎯 一鍵查詢'!$C$5),"")</f>
        <v/>
      </c>
    </row>
    <row r="1386">
      <c r="A1386" t="n">
        <v>53096</v>
      </c>
      <c r="B1386" t="n">
        <v>5309</v>
      </c>
      <c r="C1386">
        <f>IF(B1386='🎯 一鍵查詢'!$C$5,COUNTIF($B$2:B1386,'🎯 一鍵查詢'!$C$5),"")</f>
        <v/>
      </c>
    </row>
    <row r="1387">
      <c r="A1387" t="n">
        <v>53097</v>
      </c>
      <c r="B1387" t="n">
        <v>5309</v>
      </c>
      <c r="C1387">
        <f>IF(B1387='🎯 一鍵查詢'!$C$5,COUNTIF($B$2:B1387,'🎯 一鍵查詢'!$C$5),"")</f>
        <v/>
      </c>
    </row>
    <row r="1388">
      <c r="A1388" t="n">
        <v>53101</v>
      </c>
      <c r="B1388" t="n">
        <v>5310</v>
      </c>
      <c r="C1388">
        <f>IF(B1388='🎯 一鍵查詢'!$C$5,COUNTIF($B$2:B1388,'🎯 一鍵查詢'!$C$5),"")</f>
        <v/>
      </c>
    </row>
    <row r="1389">
      <c r="A1389" t="n">
        <v>53151</v>
      </c>
      <c r="B1389" t="n">
        <v>5315</v>
      </c>
      <c r="C1389">
        <f>IF(B1389='🎯 一鍵查詢'!$C$5,COUNTIF($B$2:B1389,'🎯 一鍵查詢'!$C$5),"")</f>
        <v/>
      </c>
    </row>
    <row r="1390">
      <c r="A1390" t="n">
        <v>53152</v>
      </c>
      <c r="B1390" t="n">
        <v>5315</v>
      </c>
      <c r="C1390">
        <f>IF(B1390='🎯 一鍵查詢'!$C$5,COUNTIF($B$2:B1390,'🎯 一鍵查詢'!$C$5),"")</f>
        <v/>
      </c>
    </row>
    <row r="1391">
      <c r="A1391" t="n">
        <v>53153</v>
      </c>
      <c r="B1391" t="n">
        <v>5315</v>
      </c>
      <c r="C1391">
        <f>IF(B1391='🎯 一鍵查詢'!$C$5,COUNTIF($B$2:B1391,'🎯 一鍵查詢'!$C$5),"")</f>
        <v/>
      </c>
    </row>
    <row r="1392">
      <c r="A1392" t="n">
        <v>53211</v>
      </c>
      <c r="B1392" t="n">
        <v>5321</v>
      </c>
      <c r="C1392">
        <f>IF(B1392='🎯 一鍵查詢'!$C$5,COUNTIF($B$2:B1392,'🎯 一鍵查詢'!$C$5),"")</f>
        <v/>
      </c>
    </row>
    <row r="1393">
      <c r="A1393" t="n">
        <v>53281</v>
      </c>
      <c r="B1393" t="n">
        <v>5328</v>
      </c>
      <c r="C1393">
        <f>IF(B1393='🎯 一鍵查詢'!$C$5,COUNTIF($B$2:B1393,'🎯 一鍵查詢'!$C$5),"")</f>
        <v/>
      </c>
    </row>
    <row r="1394">
      <c r="A1394" t="n">
        <v>53282</v>
      </c>
      <c r="B1394" t="n">
        <v>5328</v>
      </c>
      <c r="C1394">
        <f>IF(B1394='🎯 一鍵查詢'!$C$5,COUNTIF($B$2:B1394,'🎯 一鍵查詢'!$C$5),"")</f>
        <v/>
      </c>
    </row>
    <row r="1395">
      <c r="A1395" t="n">
        <v>53451</v>
      </c>
      <c r="B1395" t="n">
        <v>5345</v>
      </c>
      <c r="C1395">
        <f>IF(B1395='🎯 一鍵查詢'!$C$5,COUNTIF($B$2:B1395,'🎯 一鍵查詢'!$C$5),"")</f>
        <v/>
      </c>
    </row>
    <row r="1396">
      <c r="A1396" t="n">
        <v>53461</v>
      </c>
      <c r="B1396" t="n">
        <v>5346</v>
      </c>
      <c r="C1396">
        <f>IF(B1396='🎯 一鍵查詢'!$C$5,COUNTIF($B$2:B1396,'🎯 一鍵查詢'!$C$5),"")</f>
        <v/>
      </c>
    </row>
    <row r="1397">
      <c r="A1397" t="n">
        <v>53462</v>
      </c>
      <c r="B1397" t="n">
        <v>5346</v>
      </c>
      <c r="C1397">
        <f>IF(B1397='🎯 一鍵查詢'!$C$5,COUNTIF($B$2:B1397,'🎯 一鍵查詢'!$C$5),"")</f>
        <v/>
      </c>
    </row>
    <row r="1398">
      <c r="A1398" t="n">
        <v>53491</v>
      </c>
      <c r="B1398" t="n">
        <v>5349</v>
      </c>
      <c r="C1398">
        <f>IF(B1398='🎯 一鍵查詢'!$C$5,COUNTIF($B$2:B1398,'🎯 一鍵查詢'!$C$5),"")</f>
        <v/>
      </c>
    </row>
    <row r="1399">
      <c r="A1399" t="n">
        <v>53511</v>
      </c>
      <c r="B1399" t="n">
        <v>5351</v>
      </c>
      <c r="C1399">
        <f>IF(B1399='🎯 一鍵查詢'!$C$5,COUNTIF($B$2:B1399,'🎯 一鍵查詢'!$C$5),"")</f>
        <v/>
      </c>
    </row>
    <row r="1400">
      <c r="A1400" t="n">
        <v>53512</v>
      </c>
      <c r="B1400" t="n">
        <v>5351</v>
      </c>
      <c r="C1400">
        <f>IF(B1400='🎯 一鍵查詢'!$C$5,COUNTIF($B$2:B1400,'🎯 一鍵查詢'!$C$5),"")</f>
        <v/>
      </c>
    </row>
    <row r="1401">
      <c r="A1401" t="n">
        <v>53513</v>
      </c>
      <c r="B1401" t="n">
        <v>5351</v>
      </c>
      <c r="C1401">
        <f>IF(B1401='🎯 一鍵查詢'!$C$5,COUNTIF($B$2:B1401,'🎯 一鍵查詢'!$C$5),"")</f>
        <v/>
      </c>
    </row>
    <row r="1402">
      <c r="A1402" t="n">
        <v>53551</v>
      </c>
      <c r="B1402" t="n">
        <v>5355</v>
      </c>
      <c r="C1402">
        <f>IF(B1402='🎯 一鍵查詢'!$C$5,COUNTIF($B$2:B1402,'🎯 一鍵查詢'!$C$5),"")</f>
        <v/>
      </c>
    </row>
    <row r="1403">
      <c r="A1403" t="n">
        <v>53552</v>
      </c>
      <c r="B1403" t="n">
        <v>5355</v>
      </c>
      <c r="C1403">
        <f>IF(B1403='🎯 一鍵查詢'!$C$5,COUNTIF($B$2:B1403,'🎯 一鍵查詢'!$C$5),"")</f>
        <v/>
      </c>
    </row>
    <row r="1404">
      <c r="A1404" t="n">
        <v>53553</v>
      </c>
      <c r="B1404" t="n">
        <v>5355</v>
      </c>
      <c r="C1404">
        <f>IF(B1404='🎯 一鍵查詢'!$C$5,COUNTIF($B$2:B1404,'🎯 一鍵查詢'!$C$5),"")</f>
        <v/>
      </c>
    </row>
    <row r="1405">
      <c r="A1405" t="n">
        <v>53711</v>
      </c>
      <c r="B1405" t="n">
        <v>5371</v>
      </c>
      <c r="C1405">
        <f>IF(B1405='🎯 一鍵查詢'!$C$5,COUNTIF($B$2:B1405,'🎯 一鍵查詢'!$C$5),"")</f>
        <v/>
      </c>
    </row>
    <row r="1406">
      <c r="A1406" t="n">
        <v>53811</v>
      </c>
      <c r="B1406" t="n">
        <v>5381</v>
      </c>
      <c r="C1406">
        <f>IF(B1406='🎯 一鍵查詢'!$C$5,COUNTIF($B$2:B1406,'🎯 一鍵查詢'!$C$5),"")</f>
        <v/>
      </c>
    </row>
    <row r="1407">
      <c r="A1407" t="n">
        <v>53812</v>
      </c>
      <c r="B1407" t="n">
        <v>5381</v>
      </c>
      <c r="C1407">
        <f>IF(B1407='🎯 一鍵查詢'!$C$5,COUNTIF($B$2:B1407,'🎯 一鍵查詢'!$C$5),"")</f>
        <v/>
      </c>
    </row>
    <row r="1408">
      <c r="A1408" t="n">
        <v>53813</v>
      </c>
      <c r="B1408" t="n">
        <v>5381</v>
      </c>
      <c r="C1408">
        <f>IF(B1408='🎯 一鍵查詢'!$C$5,COUNTIF($B$2:B1408,'🎯 一鍵查詢'!$C$5),"")</f>
        <v/>
      </c>
    </row>
    <row r="1409">
      <c r="A1409" t="n">
        <v>53861</v>
      </c>
      <c r="B1409" t="n">
        <v>5386</v>
      </c>
      <c r="C1409">
        <f>IF(B1409='🎯 一鍵查詢'!$C$5,COUNTIF($B$2:B1409,'🎯 一鍵查詢'!$C$5),"")</f>
        <v/>
      </c>
    </row>
    <row r="1410">
      <c r="A1410" t="n">
        <v>53882</v>
      </c>
      <c r="B1410" t="n">
        <v>5388</v>
      </c>
      <c r="C1410">
        <f>IF(B1410='🎯 一鍵查詢'!$C$5,COUNTIF($B$2:B1410,'🎯 一鍵查詢'!$C$5),"")</f>
        <v/>
      </c>
    </row>
    <row r="1411">
      <c r="A1411" t="n">
        <v>53883</v>
      </c>
      <c r="B1411" t="n">
        <v>5388</v>
      </c>
      <c r="C1411">
        <f>IF(B1411='🎯 一鍵查詢'!$C$5,COUNTIF($B$2:B1411,'🎯 一鍵查詢'!$C$5),"")</f>
        <v/>
      </c>
    </row>
    <row r="1412">
      <c r="A1412" t="n">
        <v>53884</v>
      </c>
      <c r="B1412" t="n">
        <v>5388</v>
      </c>
      <c r="C1412">
        <f>IF(B1412='🎯 一鍵查詢'!$C$5,COUNTIF($B$2:B1412,'🎯 一鍵查詢'!$C$5),"")</f>
        <v/>
      </c>
    </row>
    <row r="1413">
      <c r="A1413" t="n">
        <v>53885</v>
      </c>
      <c r="B1413" t="n">
        <v>5388</v>
      </c>
      <c r="C1413">
        <f>IF(B1413='🎯 一鍵查詢'!$C$5,COUNTIF($B$2:B1413,'🎯 一鍵查詢'!$C$5),"")</f>
        <v/>
      </c>
    </row>
    <row r="1414">
      <c r="A1414" t="n">
        <v>53886</v>
      </c>
      <c r="B1414" t="n">
        <v>5388</v>
      </c>
      <c r="C1414">
        <f>IF(B1414='🎯 一鍵查詢'!$C$5,COUNTIF($B$2:B1414,'🎯 一鍵查詢'!$C$5),"")</f>
        <v/>
      </c>
    </row>
    <row r="1415">
      <c r="A1415" t="n">
        <v>53887</v>
      </c>
      <c r="B1415" t="n">
        <v>5388</v>
      </c>
      <c r="C1415">
        <f>IF(B1415='🎯 一鍵查詢'!$C$5,COUNTIF($B$2:B1415,'🎯 一鍵查詢'!$C$5),"")</f>
        <v/>
      </c>
    </row>
    <row r="1416">
      <c r="A1416" t="n">
        <v>53921</v>
      </c>
      <c r="B1416" t="n">
        <v>5392</v>
      </c>
      <c r="C1416">
        <f>IF(B1416='🎯 一鍵查詢'!$C$5,COUNTIF($B$2:B1416,'🎯 一鍵查詢'!$C$5),"")</f>
        <v/>
      </c>
    </row>
    <row r="1417">
      <c r="A1417" t="n">
        <v>53922</v>
      </c>
      <c r="B1417" t="n">
        <v>5392</v>
      </c>
      <c r="C1417">
        <f>IF(B1417='🎯 一鍵查詢'!$C$5,COUNTIF($B$2:B1417,'🎯 一鍵查詢'!$C$5),"")</f>
        <v/>
      </c>
    </row>
    <row r="1418">
      <c r="A1418" t="n">
        <v>53923</v>
      </c>
      <c r="B1418" t="n">
        <v>5392</v>
      </c>
      <c r="C1418">
        <f>IF(B1418='🎯 一鍵查詢'!$C$5,COUNTIF($B$2:B1418,'🎯 一鍵查詢'!$C$5),"")</f>
        <v/>
      </c>
    </row>
    <row r="1419">
      <c r="A1419" t="n">
        <v>53924</v>
      </c>
      <c r="B1419" t="n">
        <v>5392</v>
      </c>
      <c r="C1419">
        <f>IF(B1419='🎯 一鍵查詢'!$C$5,COUNTIF($B$2:B1419,'🎯 一鍵查詢'!$C$5),"")</f>
        <v/>
      </c>
    </row>
    <row r="1420">
      <c r="A1420" t="n">
        <v>54031</v>
      </c>
      <c r="B1420" t="n">
        <v>5403</v>
      </c>
      <c r="C1420">
        <f>IF(B1420='🎯 一鍵查詢'!$C$5,COUNTIF($B$2:B1420,'🎯 一鍵查詢'!$C$5),"")</f>
        <v/>
      </c>
    </row>
    <row r="1421">
      <c r="A1421" t="n">
        <v>54252</v>
      </c>
      <c r="B1421" t="n">
        <v>5425</v>
      </c>
      <c r="C1421">
        <f>IF(B1421='🎯 一鍵查詢'!$C$5,COUNTIF($B$2:B1421,'🎯 一鍵查詢'!$C$5),"")</f>
        <v/>
      </c>
    </row>
    <row r="1422">
      <c r="A1422" t="n">
        <v>54253</v>
      </c>
      <c r="B1422" t="n">
        <v>5425</v>
      </c>
      <c r="C1422">
        <f>IF(B1422='🎯 一鍵查詢'!$C$5,COUNTIF($B$2:B1422,'🎯 一鍵查詢'!$C$5),"")</f>
        <v/>
      </c>
    </row>
    <row r="1423">
      <c r="A1423" t="n">
        <v>54254</v>
      </c>
      <c r="B1423" t="n">
        <v>5425</v>
      </c>
      <c r="C1423">
        <f>IF(B1423='🎯 一鍵查詢'!$C$5,COUNTIF($B$2:B1423,'🎯 一鍵查詢'!$C$5),"")</f>
        <v/>
      </c>
    </row>
    <row r="1424">
      <c r="A1424" t="n">
        <v>54255</v>
      </c>
      <c r="B1424" t="n">
        <v>5425</v>
      </c>
      <c r="C1424">
        <f>IF(B1424='🎯 一鍵查詢'!$C$5,COUNTIF($B$2:B1424,'🎯 一鍵查詢'!$C$5),"")</f>
        <v/>
      </c>
    </row>
    <row r="1425">
      <c r="A1425" t="n">
        <v>54261</v>
      </c>
      <c r="B1425" t="n">
        <v>5426</v>
      </c>
      <c r="C1425">
        <f>IF(B1425='🎯 一鍵查詢'!$C$5,COUNTIF($B$2:B1425,'🎯 一鍵查詢'!$C$5),"")</f>
        <v/>
      </c>
    </row>
    <row r="1426">
      <c r="A1426" t="n">
        <v>54341</v>
      </c>
      <c r="B1426" t="n">
        <v>5434</v>
      </c>
      <c r="C1426">
        <f>IF(B1426='🎯 一鍵查詢'!$C$5,COUNTIF($B$2:B1426,'🎯 一鍵查詢'!$C$5),"")</f>
        <v/>
      </c>
    </row>
    <row r="1427">
      <c r="A1427" t="n">
        <v>54342</v>
      </c>
      <c r="B1427" t="n">
        <v>5434</v>
      </c>
      <c r="C1427">
        <f>IF(B1427='🎯 一鍵查詢'!$C$5,COUNTIF($B$2:B1427,'🎯 一鍵查詢'!$C$5),"")</f>
        <v/>
      </c>
    </row>
    <row r="1428">
      <c r="A1428" t="n">
        <v>54391</v>
      </c>
      <c r="B1428" t="n">
        <v>5439</v>
      </c>
      <c r="C1428">
        <f>IF(B1428='🎯 一鍵查詢'!$C$5,COUNTIF($B$2:B1428,'🎯 一鍵查詢'!$C$5),"")</f>
        <v/>
      </c>
    </row>
    <row r="1429">
      <c r="A1429" t="n">
        <v>54421</v>
      </c>
      <c r="B1429" t="n">
        <v>5442</v>
      </c>
      <c r="C1429">
        <f>IF(B1429='🎯 一鍵查詢'!$C$5,COUNTIF($B$2:B1429,'🎯 一鍵查詢'!$C$5),"")</f>
        <v/>
      </c>
    </row>
    <row r="1430">
      <c r="A1430" t="n">
        <v>54422</v>
      </c>
      <c r="B1430" t="n">
        <v>5442</v>
      </c>
      <c r="C1430">
        <f>IF(B1430='🎯 一鍵查詢'!$C$5,COUNTIF($B$2:B1430,'🎯 一鍵查詢'!$C$5),"")</f>
        <v/>
      </c>
    </row>
    <row r="1431">
      <c r="A1431" t="n">
        <v>54501</v>
      </c>
      <c r="B1431" t="n">
        <v>5450</v>
      </c>
      <c r="C1431">
        <f>IF(B1431='🎯 一鍵查詢'!$C$5,COUNTIF($B$2:B1431,'🎯 一鍵查詢'!$C$5),"")</f>
        <v/>
      </c>
    </row>
    <row r="1432">
      <c r="A1432" t="n">
        <v>54521</v>
      </c>
      <c r="B1432" t="n">
        <v>5452</v>
      </c>
      <c r="C1432">
        <f>IF(B1432='🎯 一鍵查詢'!$C$5,COUNTIF($B$2:B1432,'🎯 一鍵查詢'!$C$5),"")</f>
        <v/>
      </c>
    </row>
    <row r="1433">
      <c r="A1433" t="n">
        <v>54551</v>
      </c>
      <c r="B1433" t="n">
        <v>5455</v>
      </c>
      <c r="C1433">
        <f>IF(B1433='🎯 一鍵查詢'!$C$5,COUNTIF($B$2:B1433,'🎯 一鍵查詢'!$C$5),"")</f>
        <v/>
      </c>
    </row>
    <row r="1434">
      <c r="A1434" t="n">
        <v>54552</v>
      </c>
      <c r="B1434" t="n">
        <v>5455</v>
      </c>
      <c r="C1434">
        <f>IF(B1434='🎯 一鍵查詢'!$C$5,COUNTIF($B$2:B1434,'🎯 一鍵查詢'!$C$5),"")</f>
        <v/>
      </c>
    </row>
    <row r="1435">
      <c r="A1435" t="n">
        <v>54571</v>
      </c>
      <c r="B1435" t="n">
        <v>5457</v>
      </c>
      <c r="C1435">
        <f>IF(B1435='🎯 一鍵查詢'!$C$5,COUNTIF($B$2:B1435,'🎯 一鍵查詢'!$C$5),"")</f>
        <v/>
      </c>
    </row>
    <row r="1436">
      <c r="A1436" t="n">
        <v>54572</v>
      </c>
      <c r="B1436" t="n">
        <v>5457</v>
      </c>
      <c r="C1436">
        <f>IF(B1436='🎯 一鍵查詢'!$C$5,COUNTIF($B$2:B1436,'🎯 一鍵查詢'!$C$5),"")</f>
        <v/>
      </c>
    </row>
    <row r="1437">
      <c r="A1437" t="n">
        <v>54573</v>
      </c>
      <c r="B1437" t="n">
        <v>5457</v>
      </c>
      <c r="C1437">
        <f>IF(B1437='🎯 一鍵查詢'!$C$5,COUNTIF($B$2:B1437,'🎯 一鍵查詢'!$C$5),"")</f>
        <v/>
      </c>
    </row>
    <row r="1438">
      <c r="A1438" t="n">
        <v>54641</v>
      </c>
      <c r="B1438" t="n">
        <v>5464</v>
      </c>
      <c r="C1438">
        <f>IF(B1438='🎯 一鍵查詢'!$C$5,COUNTIF($B$2:B1438,'🎯 一鍵查詢'!$C$5),"")</f>
        <v/>
      </c>
    </row>
    <row r="1439">
      <c r="A1439" t="n">
        <v>54661</v>
      </c>
      <c r="B1439" t="n">
        <v>5466</v>
      </c>
      <c r="C1439">
        <f>IF(B1439='🎯 一鍵查詢'!$C$5,COUNTIF($B$2:B1439,'🎯 一鍵查詢'!$C$5),"")</f>
        <v/>
      </c>
    </row>
    <row r="1440">
      <c r="A1440" t="n">
        <v>54662</v>
      </c>
      <c r="B1440" t="n">
        <v>5466</v>
      </c>
      <c r="C1440">
        <f>IF(B1440='🎯 一鍵查詢'!$C$5,COUNTIF($B$2:B1440,'🎯 一鍵查詢'!$C$5),"")</f>
        <v/>
      </c>
    </row>
    <row r="1441">
      <c r="A1441" t="n">
        <v>54691</v>
      </c>
      <c r="B1441" t="n">
        <v>5469</v>
      </c>
      <c r="C1441">
        <f>IF(B1441='🎯 一鍵查詢'!$C$5,COUNTIF($B$2:B1441,'🎯 一鍵查詢'!$C$5),"")</f>
        <v/>
      </c>
    </row>
    <row r="1442">
      <c r="A1442" t="n">
        <v>54731</v>
      </c>
      <c r="B1442" t="n">
        <v>5473</v>
      </c>
      <c r="C1442">
        <f>IF(B1442='🎯 一鍵查詢'!$C$5,COUNTIF($B$2:B1442,'🎯 一鍵查詢'!$C$5),"")</f>
        <v/>
      </c>
    </row>
    <row r="1443">
      <c r="A1443" t="n">
        <v>54751</v>
      </c>
      <c r="B1443" t="n">
        <v>5475</v>
      </c>
      <c r="C1443">
        <f>IF(B1443='🎯 一鍵查詢'!$C$5,COUNTIF($B$2:B1443,'🎯 一鍵查詢'!$C$5),"")</f>
        <v/>
      </c>
    </row>
    <row r="1444">
      <c r="A1444" t="n">
        <v>54752</v>
      </c>
      <c r="B1444" t="n">
        <v>5475</v>
      </c>
      <c r="C1444">
        <f>IF(B1444='🎯 一鍵查詢'!$C$5,COUNTIF($B$2:B1444,'🎯 一鍵查詢'!$C$5),"")</f>
        <v/>
      </c>
    </row>
    <row r="1445">
      <c r="A1445" t="n">
        <v>54753</v>
      </c>
      <c r="B1445" t="n">
        <v>5475</v>
      </c>
      <c r="C1445">
        <f>IF(B1445='🎯 一鍵查詢'!$C$5,COUNTIF($B$2:B1445,'🎯 一鍵查詢'!$C$5),"")</f>
        <v/>
      </c>
    </row>
    <row r="1446">
      <c r="A1446" t="n">
        <v>54754</v>
      </c>
      <c r="B1446" t="n">
        <v>5475</v>
      </c>
      <c r="C1446">
        <f>IF(B1446='🎯 一鍵查詢'!$C$5,COUNTIF($B$2:B1446,'🎯 一鍵查詢'!$C$5),"")</f>
        <v/>
      </c>
    </row>
    <row r="1447">
      <c r="A1447" t="n">
        <v>54755</v>
      </c>
      <c r="B1447" t="n">
        <v>5475</v>
      </c>
      <c r="C1447">
        <f>IF(B1447='🎯 一鍵查詢'!$C$5,COUNTIF($B$2:B1447,'🎯 一鍵查詢'!$C$5),"")</f>
        <v/>
      </c>
    </row>
    <row r="1448">
      <c r="A1448" t="n">
        <v>54756</v>
      </c>
      <c r="B1448" t="n">
        <v>5475</v>
      </c>
      <c r="C1448">
        <f>IF(B1448='🎯 一鍵查詢'!$C$5,COUNTIF($B$2:B1448,'🎯 一鍵查詢'!$C$5),"")</f>
        <v/>
      </c>
    </row>
    <row r="1449">
      <c r="A1449" t="n">
        <v>54757</v>
      </c>
      <c r="B1449" t="n">
        <v>5475</v>
      </c>
      <c r="C1449">
        <f>IF(B1449='🎯 一鍵查詢'!$C$5,COUNTIF($B$2:B1449,'🎯 一鍵查詢'!$C$5),"")</f>
        <v/>
      </c>
    </row>
    <row r="1450">
      <c r="A1450" t="n">
        <v>54758</v>
      </c>
      <c r="B1450" t="n">
        <v>5475</v>
      </c>
      <c r="C1450">
        <f>IF(B1450='🎯 一鍵查詢'!$C$5,COUNTIF($B$2:B1450,'🎯 一鍵查詢'!$C$5),"")</f>
        <v/>
      </c>
    </row>
    <row r="1451">
      <c r="A1451" t="n">
        <v>54759</v>
      </c>
      <c r="B1451" t="n">
        <v>5475</v>
      </c>
      <c r="C1451">
        <f>IF(B1451='🎯 一鍵查詢'!$C$5,COUNTIF($B$2:B1451,'🎯 一鍵查詢'!$C$5),"")</f>
        <v/>
      </c>
    </row>
    <row r="1452">
      <c r="A1452" t="n">
        <v>54781</v>
      </c>
      <c r="B1452" t="n">
        <v>5478</v>
      </c>
      <c r="C1452">
        <f>IF(B1452='🎯 一鍵查詢'!$C$5,COUNTIF($B$2:B1452,'🎯 一鍵查詢'!$C$5),"")</f>
        <v/>
      </c>
    </row>
    <row r="1453">
      <c r="A1453" t="n">
        <v>54901</v>
      </c>
      <c r="B1453" t="n">
        <v>5490</v>
      </c>
      <c r="C1453">
        <f>IF(B1453='🎯 一鍵查詢'!$C$5,COUNTIF($B$2:B1453,'🎯 一鍵查詢'!$C$5),"")</f>
        <v/>
      </c>
    </row>
    <row r="1454">
      <c r="A1454" t="n">
        <v>54911</v>
      </c>
      <c r="B1454" t="n">
        <v>5491</v>
      </c>
      <c r="C1454">
        <f>IF(B1454='🎯 一鍵查詢'!$C$5,COUNTIF($B$2:B1454,'🎯 一鍵查詢'!$C$5),"")</f>
        <v/>
      </c>
    </row>
    <row r="1455">
      <c r="A1455" t="n">
        <v>54912</v>
      </c>
      <c r="B1455" t="n">
        <v>5491</v>
      </c>
      <c r="C1455">
        <f>IF(B1455='🎯 一鍵查詢'!$C$5,COUNTIF($B$2:B1455,'🎯 一鍵查詢'!$C$5),"")</f>
        <v/>
      </c>
    </row>
    <row r="1456">
      <c r="A1456" t="n">
        <v>54913</v>
      </c>
      <c r="B1456" t="n">
        <v>5491</v>
      </c>
      <c r="C1456">
        <f>IF(B1456='🎯 一鍵查詢'!$C$5,COUNTIF($B$2:B1456,'🎯 一鍵查詢'!$C$5),"")</f>
        <v/>
      </c>
    </row>
    <row r="1457">
      <c r="A1457" t="n">
        <v>54931</v>
      </c>
      <c r="B1457" t="n">
        <v>5493</v>
      </c>
      <c r="C1457">
        <f>IF(B1457='🎯 一鍵查詢'!$C$5,COUNTIF($B$2:B1457,'🎯 一鍵查詢'!$C$5),"")</f>
        <v/>
      </c>
    </row>
    <row r="1458">
      <c r="A1458" t="n">
        <v>54981</v>
      </c>
      <c r="B1458" t="n">
        <v>5498</v>
      </c>
      <c r="C1458">
        <f>IF(B1458='🎯 一鍵查詢'!$C$5,COUNTIF($B$2:B1458,'🎯 一鍵查詢'!$C$5),"")</f>
        <v/>
      </c>
    </row>
    <row r="1459">
      <c r="A1459" t="n">
        <v>54982</v>
      </c>
      <c r="B1459" t="n">
        <v>5498</v>
      </c>
      <c r="C1459">
        <f>IF(B1459='🎯 一鍵查詢'!$C$5,COUNTIF($B$2:B1459,'🎯 一鍵查詢'!$C$5),"")</f>
        <v/>
      </c>
    </row>
    <row r="1460">
      <c r="A1460" t="n">
        <v>54983</v>
      </c>
      <c r="B1460" t="n">
        <v>5498</v>
      </c>
      <c r="C1460">
        <f>IF(B1460='🎯 一鍵查詢'!$C$5,COUNTIF($B$2:B1460,'🎯 一鍵查詢'!$C$5),"")</f>
        <v/>
      </c>
    </row>
    <row r="1461">
      <c r="A1461" t="n">
        <v>55051</v>
      </c>
      <c r="B1461" t="n">
        <v>5505</v>
      </c>
      <c r="C1461">
        <f>IF(B1461='🎯 一鍵查詢'!$C$5,COUNTIF($B$2:B1461,'🎯 一鍵查詢'!$C$5),"")</f>
        <v/>
      </c>
    </row>
    <row r="1462">
      <c r="A1462" t="n">
        <v>55052</v>
      </c>
      <c r="B1462" t="n">
        <v>5505</v>
      </c>
      <c r="C1462">
        <f>IF(B1462='🎯 一鍵查詢'!$C$5,COUNTIF($B$2:B1462,'🎯 一鍵查詢'!$C$5),"")</f>
        <v/>
      </c>
    </row>
    <row r="1463">
      <c r="A1463" t="n">
        <v>55121</v>
      </c>
      <c r="B1463" t="n">
        <v>5512</v>
      </c>
      <c r="C1463">
        <f>IF(B1463='🎯 一鍵查詢'!$C$5,COUNTIF($B$2:B1463,'🎯 一鍵查詢'!$C$5),"")</f>
        <v/>
      </c>
    </row>
    <row r="1464">
      <c r="A1464" t="n">
        <v>55122</v>
      </c>
      <c r="B1464" t="n">
        <v>5512</v>
      </c>
      <c r="C1464">
        <f>IF(B1464='🎯 一鍵查詢'!$C$5,COUNTIF($B$2:B1464,'🎯 一鍵查詢'!$C$5),"")</f>
        <v/>
      </c>
    </row>
    <row r="1465">
      <c r="A1465" t="n">
        <v>55123</v>
      </c>
      <c r="B1465" t="n">
        <v>5512</v>
      </c>
      <c r="C1465">
        <f>IF(B1465='🎯 一鍵查詢'!$C$5,COUNTIF($B$2:B1465,'🎯 一鍵查詢'!$C$5),"")</f>
        <v/>
      </c>
    </row>
    <row r="1466">
      <c r="A1466" t="n">
        <v>55124</v>
      </c>
      <c r="B1466" t="n">
        <v>5512</v>
      </c>
      <c r="C1466">
        <f>IF(B1466='🎯 一鍵查詢'!$C$5,COUNTIF($B$2:B1466,'🎯 一鍵查詢'!$C$5),"")</f>
        <v/>
      </c>
    </row>
    <row r="1467">
      <c r="A1467" t="n">
        <v>55191</v>
      </c>
      <c r="B1467" t="n">
        <v>5519</v>
      </c>
      <c r="C1467">
        <f>IF(B1467='🎯 一鍵查詢'!$C$5,COUNTIF($B$2:B1467,'🎯 一鍵查詢'!$C$5),"")</f>
        <v/>
      </c>
    </row>
    <row r="1468">
      <c r="A1468" t="n">
        <v>55192</v>
      </c>
      <c r="B1468" t="n">
        <v>5519</v>
      </c>
      <c r="C1468">
        <f>IF(B1468='🎯 一鍵查詢'!$C$5,COUNTIF($B$2:B1468,'🎯 一鍵查詢'!$C$5),"")</f>
        <v/>
      </c>
    </row>
    <row r="1469">
      <c r="A1469" t="n">
        <v>55193</v>
      </c>
      <c r="B1469" t="n">
        <v>5519</v>
      </c>
      <c r="C1469">
        <f>IF(B1469='🎯 一鍵查詢'!$C$5,COUNTIF($B$2:B1469,'🎯 一鍵查詢'!$C$5),"")</f>
        <v/>
      </c>
    </row>
    <row r="1470">
      <c r="A1470" t="n">
        <v>55194</v>
      </c>
      <c r="B1470" t="n">
        <v>5519</v>
      </c>
      <c r="C1470">
        <f>IF(B1470='🎯 一鍵查詢'!$C$5,COUNTIF($B$2:B1470,'🎯 一鍵查詢'!$C$5),"")</f>
        <v/>
      </c>
    </row>
    <row r="1471">
      <c r="A1471" t="n">
        <v>55221</v>
      </c>
      <c r="B1471" t="n">
        <v>5522</v>
      </c>
      <c r="C1471">
        <f>IF(B1471='🎯 一鍵查詢'!$C$5,COUNTIF($B$2:B1471,'🎯 一鍵查詢'!$C$5),"")</f>
        <v/>
      </c>
    </row>
    <row r="1472">
      <c r="A1472" t="n">
        <v>55222</v>
      </c>
      <c r="B1472" t="n">
        <v>5522</v>
      </c>
      <c r="C1472">
        <f>IF(B1472='🎯 一鍵查詢'!$C$5,COUNTIF($B$2:B1472,'🎯 一鍵查詢'!$C$5),"")</f>
        <v/>
      </c>
    </row>
    <row r="1473">
      <c r="A1473" t="n">
        <v>55223</v>
      </c>
      <c r="B1473" t="n">
        <v>5522</v>
      </c>
      <c r="C1473">
        <f>IF(B1473='🎯 一鍵查詢'!$C$5,COUNTIF($B$2:B1473,'🎯 一鍵查詢'!$C$5),"")</f>
        <v/>
      </c>
    </row>
    <row r="1474">
      <c r="A1474" t="n">
        <v>55224</v>
      </c>
      <c r="B1474" t="n">
        <v>5522</v>
      </c>
      <c r="C1474">
        <f>IF(B1474='🎯 一鍵查詢'!$C$5,COUNTIF($B$2:B1474,'🎯 一鍵查詢'!$C$5),"")</f>
        <v/>
      </c>
    </row>
    <row r="1475">
      <c r="A1475" t="n">
        <v>55225</v>
      </c>
      <c r="B1475" t="n">
        <v>5522</v>
      </c>
      <c r="C1475">
        <f>IF(B1475='🎯 一鍵查詢'!$C$5,COUNTIF($B$2:B1475,'🎯 一鍵查詢'!$C$5),"")</f>
        <v/>
      </c>
    </row>
    <row r="1476">
      <c r="A1476" t="n">
        <v>55226</v>
      </c>
      <c r="B1476" t="n">
        <v>5522</v>
      </c>
      <c r="C1476">
        <f>IF(B1476='🎯 一鍵查詢'!$C$5,COUNTIF($B$2:B1476,'🎯 一鍵查詢'!$C$5),"")</f>
        <v/>
      </c>
    </row>
    <row r="1477">
      <c r="A1477" t="n">
        <v>55231</v>
      </c>
      <c r="B1477" t="n">
        <v>5523</v>
      </c>
      <c r="C1477">
        <f>IF(B1477='🎯 一鍵查詢'!$C$5,COUNTIF($B$2:B1477,'🎯 一鍵查詢'!$C$5),"")</f>
        <v/>
      </c>
    </row>
    <row r="1478">
      <c r="A1478" t="n">
        <v>55291</v>
      </c>
      <c r="B1478" t="n">
        <v>5529</v>
      </c>
      <c r="C1478">
        <f>IF(B1478='🎯 一鍵查詢'!$C$5,COUNTIF($B$2:B1478,'🎯 一鍵查詢'!$C$5),"")</f>
        <v/>
      </c>
    </row>
    <row r="1479">
      <c r="A1479" t="n">
        <v>55341</v>
      </c>
      <c r="B1479" t="n">
        <v>5534</v>
      </c>
      <c r="C1479">
        <f>IF(B1479='🎯 一鍵查詢'!$C$5,COUNTIF($B$2:B1479,'🎯 一鍵查詢'!$C$5),"")</f>
        <v/>
      </c>
    </row>
    <row r="1480">
      <c r="A1480" t="n">
        <v>55342</v>
      </c>
      <c r="B1480" t="n">
        <v>5534</v>
      </c>
      <c r="C1480">
        <f>IF(B1480='🎯 一鍵查詢'!$C$5,COUNTIF($B$2:B1480,'🎯 一鍵查詢'!$C$5),"")</f>
        <v/>
      </c>
    </row>
    <row r="1481">
      <c r="A1481" t="n">
        <v>55343</v>
      </c>
      <c r="B1481" t="n">
        <v>5534</v>
      </c>
      <c r="C1481">
        <f>IF(B1481='🎯 一鍵查詢'!$C$5,COUNTIF($B$2:B1481,'🎯 一鍵查詢'!$C$5),"")</f>
        <v/>
      </c>
    </row>
    <row r="1482">
      <c r="A1482" t="n">
        <v>55344</v>
      </c>
      <c r="B1482" t="n">
        <v>5534</v>
      </c>
      <c r="C1482">
        <f>IF(B1482='🎯 一鍵查詢'!$C$5,COUNTIF($B$2:B1482,'🎯 一鍵查詢'!$C$5),"")</f>
        <v/>
      </c>
    </row>
    <row r="1483">
      <c r="A1483" t="n">
        <v>55361</v>
      </c>
      <c r="B1483" t="n">
        <v>5536</v>
      </c>
      <c r="C1483">
        <f>IF(B1483='🎯 一鍵查詢'!$C$5,COUNTIF($B$2:B1483,'🎯 一鍵查詢'!$C$5),"")</f>
        <v/>
      </c>
    </row>
    <row r="1484">
      <c r="A1484" t="n">
        <v>55381</v>
      </c>
      <c r="B1484" t="n">
        <v>5538</v>
      </c>
      <c r="C1484">
        <f>IF(B1484='🎯 一鍵查詢'!$C$5,COUNTIF($B$2:B1484,'🎯 一鍵查詢'!$C$5),"")</f>
        <v/>
      </c>
    </row>
    <row r="1485">
      <c r="A1485" t="n">
        <v>55431</v>
      </c>
      <c r="B1485" t="n">
        <v>5543</v>
      </c>
      <c r="C1485">
        <f>IF(B1485='🎯 一鍵查詢'!$C$5,COUNTIF($B$2:B1485,'🎯 一鍵查詢'!$C$5),"")</f>
        <v/>
      </c>
    </row>
    <row r="1486">
      <c r="A1486" t="n">
        <v>55432</v>
      </c>
      <c r="B1486" t="n">
        <v>5543</v>
      </c>
      <c r="C1486">
        <f>IF(B1486='🎯 一鍵查詢'!$C$5,COUNTIF($B$2:B1486,'🎯 一鍵查詢'!$C$5),"")</f>
        <v/>
      </c>
    </row>
    <row r="1487">
      <c r="A1487" t="n">
        <v>55433</v>
      </c>
      <c r="B1487" t="n">
        <v>5543</v>
      </c>
      <c r="C1487">
        <f>IF(B1487='🎯 一鍵查詢'!$C$5,COUNTIF($B$2:B1487,'🎯 一鍵查詢'!$C$5),"")</f>
        <v/>
      </c>
    </row>
    <row r="1488">
      <c r="A1488" t="n">
        <v>55434</v>
      </c>
      <c r="B1488" t="n">
        <v>5543</v>
      </c>
      <c r="C1488">
        <f>IF(B1488='🎯 一鍵查詢'!$C$5,COUNTIF($B$2:B1488,'🎯 一鍵查詢'!$C$5),"")</f>
        <v/>
      </c>
    </row>
    <row r="1489">
      <c r="A1489" t="n">
        <v>55461</v>
      </c>
      <c r="B1489" t="n">
        <v>5546</v>
      </c>
      <c r="C1489">
        <f>IF(B1489='🎯 一鍵查詢'!$C$5,COUNTIF($B$2:B1489,'🎯 一鍵查詢'!$C$5),"")</f>
        <v/>
      </c>
    </row>
    <row r="1490">
      <c r="A1490" t="n">
        <v>56031</v>
      </c>
      <c r="B1490" t="n">
        <v>5603</v>
      </c>
      <c r="C1490">
        <f>IF(B1490='🎯 一鍵查詢'!$C$5,COUNTIF($B$2:B1490,'🎯 一鍵查詢'!$C$5),"")</f>
        <v/>
      </c>
    </row>
    <row r="1491">
      <c r="A1491" t="n">
        <v>56081</v>
      </c>
      <c r="B1491" t="n">
        <v>5608</v>
      </c>
      <c r="C1491">
        <f>IF(B1491='🎯 一鍵查詢'!$C$5,COUNTIF($B$2:B1491,'🎯 一鍵查詢'!$C$5),"")</f>
        <v/>
      </c>
    </row>
    <row r="1492">
      <c r="A1492" t="n">
        <v>56082</v>
      </c>
      <c r="B1492" t="n">
        <v>5608</v>
      </c>
      <c r="C1492">
        <f>IF(B1492='🎯 一鍵查詢'!$C$5,COUNTIF($B$2:B1492,'🎯 一鍵查詢'!$C$5),"")</f>
        <v/>
      </c>
    </row>
    <row r="1493">
      <c r="A1493" t="n">
        <v>56083</v>
      </c>
      <c r="B1493" t="n">
        <v>5608</v>
      </c>
      <c r="C1493">
        <f>IF(B1493='🎯 一鍵查詢'!$C$5,COUNTIF($B$2:B1493,'🎯 一鍵查詢'!$C$5),"")</f>
        <v/>
      </c>
    </row>
    <row r="1494">
      <c r="A1494" t="n">
        <v>56084</v>
      </c>
      <c r="B1494" t="n">
        <v>5608</v>
      </c>
      <c r="C1494">
        <f>IF(B1494='🎯 一鍵查詢'!$C$5,COUNTIF($B$2:B1494,'🎯 一鍵查詢'!$C$5),"")</f>
        <v/>
      </c>
    </row>
    <row r="1495">
      <c r="A1495" t="n">
        <v>56085</v>
      </c>
      <c r="B1495" t="n">
        <v>5608</v>
      </c>
      <c r="C1495">
        <f>IF(B1495='🎯 一鍵查詢'!$C$5,COUNTIF($B$2:B1495,'🎯 一鍵查詢'!$C$5),"")</f>
        <v/>
      </c>
    </row>
    <row r="1496">
      <c r="A1496" t="n">
        <v>56086</v>
      </c>
      <c r="B1496" t="n">
        <v>5608</v>
      </c>
      <c r="C1496">
        <f>IF(B1496='🎯 一鍵查詢'!$C$5,COUNTIF($B$2:B1496,'🎯 一鍵查詢'!$C$5),"")</f>
        <v/>
      </c>
    </row>
    <row r="1497">
      <c r="A1497" t="n">
        <v>56087</v>
      </c>
      <c r="B1497" t="n">
        <v>5608</v>
      </c>
      <c r="C1497">
        <f>IF(B1497='🎯 一鍵查詢'!$C$5,COUNTIF($B$2:B1497,'🎯 一鍵查詢'!$C$5),"")</f>
        <v/>
      </c>
    </row>
    <row r="1498">
      <c r="A1498" t="n">
        <v>58201</v>
      </c>
      <c r="B1498" t="n">
        <v>5820</v>
      </c>
      <c r="C1498">
        <f>IF(B1498='🎯 一鍵查詢'!$C$5,COUNTIF($B$2:B1498,'🎯 一鍵查詢'!$C$5),"")</f>
        <v/>
      </c>
    </row>
    <row r="1499">
      <c r="A1499" t="n">
        <v>58711</v>
      </c>
      <c r="B1499" t="n">
        <v>5871</v>
      </c>
      <c r="C1499">
        <f>IF(B1499='🎯 一鍵查詢'!$C$5,COUNTIF($B$2:B1499,'🎯 一鍵查詢'!$C$5),"")</f>
        <v/>
      </c>
    </row>
    <row r="1500">
      <c r="A1500" t="n">
        <v>59041</v>
      </c>
      <c r="B1500" t="n">
        <v>5904</v>
      </c>
      <c r="C1500">
        <f>IF(B1500='🎯 一鍵查詢'!$C$5,COUNTIF($B$2:B1500,'🎯 一鍵查詢'!$C$5),"")</f>
        <v/>
      </c>
    </row>
    <row r="1501">
      <c r="A1501" t="n">
        <v>59051</v>
      </c>
      <c r="B1501" t="n">
        <v>5905</v>
      </c>
      <c r="C1501">
        <f>IF(B1501='🎯 一鍵查詢'!$C$5,COUNTIF($B$2:B1501,'🎯 一鍵查詢'!$C$5),"")</f>
        <v/>
      </c>
    </row>
    <row r="1502">
      <c r="A1502" t="n">
        <v>59052</v>
      </c>
      <c r="B1502" t="n">
        <v>5905</v>
      </c>
      <c r="C1502">
        <f>IF(B1502='🎯 一鍵查詢'!$C$5,COUNTIF($B$2:B1502,'🎯 一鍵查詢'!$C$5),"")</f>
        <v/>
      </c>
    </row>
    <row r="1503">
      <c r="A1503" t="n">
        <v>59053</v>
      </c>
      <c r="B1503" t="n">
        <v>5905</v>
      </c>
      <c r="C1503">
        <f>IF(B1503='🎯 一鍵查詢'!$C$5,COUNTIF($B$2:B1503,'🎯 一鍵查詢'!$C$5),"")</f>
        <v/>
      </c>
    </row>
    <row r="1504">
      <c r="A1504" t="n">
        <v>59054</v>
      </c>
      <c r="B1504" t="n">
        <v>5905</v>
      </c>
      <c r="C1504">
        <f>IF(B1504='🎯 一鍵查詢'!$C$5,COUNTIF($B$2:B1504,'🎯 一鍵查詢'!$C$5),"")</f>
        <v/>
      </c>
    </row>
    <row r="1505">
      <c r="A1505" t="n">
        <v>59055</v>
      </c>
      <c r="B1505" t="n">
        <v>5905</v>
      </c>
      <c r="C1505">
        <f>IF(B1505='🎯 一鍵查詢'!$C$5,COUNTIF($B$2:B1505,'🎯 一鍵查詢'!$C$5),"")</f>
        <v/>
      </c>
    </row>
    <row r="1506">
      <c r="A1506" t="n">
        <v>60042</v>
      </c>
      <c r="B1506" t="n">
        <v>6004</v>
      </c>
      <c r="C1506">
        <f>IF(B1506='🎯 一鍵查詢'!$C$5,COUNTIF($B$2:B1506,'🎯 一鍵查詢'!$C$5),"")</f>
        <v/>
      </c>
    </row>
    <row r="1507">
      <c r="A1507" t="n">
        <v>60151</v>
      </c>
      <c r="B1507" t="n">
        <v>6015</v>
      </c>
      <c r="C1507">
        <f>IF(B1507='🎯 一鍵查詢'!$C$5,COUNTIF($B$2:B1507,'🎯 一鍵查詢'!$C$5),"")</f>
        <v/>
      </c>
    </row>
    <row r="1508">
      <c r="A1508" t="n">
        <v>60152</v>
      </c>
      <c r="B1508" t="n">
        <v>6015</v>
      </c>
      <c r="C1508">
        <f>IF(B1508='🎯 一鍵查詢'!$C$5,COUNTIF($B$2:B1508,'🎯 一鍵查詢'!$C$5),"")</f>
        <v/>
      </c>
    </row>
    <row r="1509">
      <c r="A1509" t="n">
        <v>60161</v>
      </c>
      <c r="B1509" t="n">
        <v>6016</v>
      </c>
      <c r="C1509">
        <f>IF(B1509='🎯 一鍵查詢'!$C$5,COUNTIF($B$2:B1509,'🎯 一鍵查詢'!$C$5),"")</f>
        <v/>
      </c>
    </row>
    <row r="1510">
      <c r="A1510" t="n">
        <v>60221</v>
      </c>
      <c r="B1510" t="n">
        <v>6022</v>
      </c>
      <c r="C1510">
        <f>IF(B1510='🎯 一鍵查詢'!$C$5,COUNTIF($B$2:B1510,'🎯 一鍵查詢'!$C$5),"")</f>
        <v/>
      </c>
    </row>
    <row r="1511">
      <c r="A1511" t="n">
        <v>61011</v>
      </c>
      <c r="B1511" t="n">
        <v>6101</v>
      </c>
      <c r="C1511">
        <f>IF(B1511='🎯 一鍵查詢'!$C$5,COUNTIF($B$2:B1511,'🎯 一鍵查詢'!$C$5),"")</f>
        <v/>
      </c>
    </row>
    <row r="1512">
      <c r="A1512" t="n">
        <v>61012</v>
      </c>
      <c r="B1512" t="n">
        <v>6101</v>
      </c>
      <c r="C1512">
        <f>IF(B1512='🎯 一鍵查詢'!$C$5,COUNTIF($B$2:B1512,'🎯 一鍵查詢'!$C$5),"")</f>
        <v/>
      </c>
    </row>
    <row r="1513">
      <c r="A1513" t="n">
        <v>61041</v>
      </c>
      <c r="B1513" t="n">
        <v>6104</v>
      </c>
      <c r="C1513">
        <f>IF(B1513='🎯 一鍵查詢'!$C$5,COUNTIF($B$2:B1513,'🎯 一鍵查詢'!$C$5),"")</f>
        <v/>
      </c>
    </row>
    <row r="1514">
      <c r="A1514" t="n">
        <v>61051</v>
      </c>
      <c r="B1514" t="n">
        <v>6105</v>
      </c>
      <c r="C1514">
        <f>IF(B1514='🎯 一鍵查詢'!$C$5,COUNTIF($B$2:B1514,'🎯 一鍵查詢'!$C$5),"")</f>
        <v/>
      </c>
    </row>
    <row r="1515">
      <c r="A1515" t="n">
        <v>61052</v>
      </c>
      <c r="B1515" t="n">
        <v>6105</v>
      </c>
      <c r="C1515">
        <f>IF(B1515='🎯 一鍵查詢'!$C$5,COUNTIF($B$2:B1515,'🎯 一鍵查詢'!$C$5),"")</f>
        <v/>
      </c>
    </row>
    <row r="1516">
      <c r="A1516" t="n">
        <v>61053</v>
      </c>
      <c r="B1516" t="n">
        <v>6105</v>
      </c>
      <c r="C1516">
        <f>IF(B1516='🎯 一鍵查詢'!$C$5,COUNTIF($B$2:B1516,'🎯 一鍵查詢'!$C$5),"")</f>
        <v/>
      </c>
    </row>
    <row r="1517">
      <c r="A1517" t="n">
        <v>61071</v>
      </c>
      <c r="B1517" t="n">
        <v>6107</v>
      </c>
      <c r="C1517">
        <f>IF(B1517='🎯 一鍵查詢'!$C$5,COUNTIF($B$2:B1517,'🎯 一鍵查詢'!$C$5),"")</f>
        <v/>
      </c>
    </row>
    <row r="1518">
      <c r="A1518" t="n">
        <v>61081</v>
      </c>
      <c r="B1518" t="n">
        <v>6108</v>
      </c>
      <c r="C1518">
        <f>IF(B1518='🎯 一鍵查詢'!$C$5,COUNTIF($B$2:B1518,'🎯 一鍵查詢'!$C$5),"")</f>
        <v/>
      </c>
    </row>
    <row r="1519">
      <c r="A1519" t="n">
        <v>61082</v>
      </c>
      <c r="B1519" t="n">
        <v>6108</v>
      </c>
      <c r="C1519">
        <f>IF(B1519='🎯 一鍵查詢'!$C$5,COUNTIF($B$2:B1519,'🎯 一鍵查詢'!$C$5),"")</f>
        <v/>
      </c>
    </row>
    <row r="1520">
      <c r="A1520" t="n">
        <v>61083</v>
      </c>
      <c r="B1520" t="n">
        <v>6108</v>
      </c>
      <c r="C1520">
        <f>IF(B1520='🎯 一鍵查詢'!$C$5,COUNTIF($B$2:B1520,'🎯 一鍵查詢'!$C$5),"")</f>
        <v/>
      </c>
    </row>
    <row r="1521">
      <c r="A1521" t="n">
        <v>61101</v>
      </c>
      <c r="B1521" t="n">
        <v>6110</v>
      </c>
      <c r="C1521">
        <f>IF(B1521='🎯 一鍵查詢'!$C$5,COUNTIF($B$2:B1521,'🎯 一鍵查詢'!$C$5),"")</f>
        <v/>
      </c>
    </row>
    <row r="1522">
      <c r="A1522" t="n">
        <v>61102</v>
      </c>
      <c r="B1522" t="n">
        <v>6110</v>
      </c>
      <c r="C1522">
        <f>IF(B1522='🎯 一鍵查詢'!$C$5,COUNTIF($B$2:B1522,'🎯 一鍵查詢'!$C$5),"")</f>
        <v/>
      </c>
    </row>
    <row r="1523">
      <c r="A1523" t="n">
        <v>61111</v>
      </c>
      <c r="B1523" t="n">
        <v>6111</v>
      </c>
      <c r="C1523">
        <f>IF(B1523='🎯 一鍵查詢'!$C$5,COUNTIF($B$2:B1523,'🎯 一鍵查詢'!$C$5),"")</f>
        <v/>
      </c>
    </row>
    <row r="1524">
      <c r="A1524" t="n">
        <v>61112</v>
      </c>
      <c r="B1524" t="n">
        <v>6111</v>
      </c>
      <c r="C1524">
        <f>IF(B1524='🎯 一鍵查詢'!$C$5,COUNTIF($B$2:B1524,'🎯 一鍵查詢'!$C$5),"")</f>
        <v/>
      </c>
    </row>
    <row r="1525">
      <c r="A1525" t="n">
        <v>61121</v>
      </c>
      <c r="B1525" t="n">
        <v>6112</v>
      </c>
      <c r="C1525">
        <f>IF(B1525='🎯 一鍵查詢'!$C$5,COUNTIF($B$2:B1525,'🎯 一鍵查詢'!$C$5),"")</f>
        <v/>
      </c>
    </row>
    <row r="1526">
      <c r="A1526" t="n">
        <v>61141</v>
      </c>
      <c r="B1526" t="n">
        <v>6114</v>
      </c>
      <c r="C1526">
        <f>IF(B1526='🎯 一鍵查詢'!$C$5,COUNTIF($B$2:B1526,'🎯 一鍵查詢'!$C$5),"")</f>
        <v/>
      </c>
    </row>
    <row r="1527">
      <c r="A1527" t="n">
        <v>61151</v>
      </c>
      <c r="B1527" t="n">
        <v>6115</v>
      </c>
      <c r="C1527">
        <f>IF(B1527='🎯 一鍵查詢'!$C$5,COUNTIF($B$2:B1527,'🎯 一鍵查詢'!$C$5),"")</f>
        <v/>
      </c>
    </row>
    <row r="1528">
      <c r="A1528" t="n">
        <v>61152</v>
      </c>
      <c r="B1528" t="n">
        <v>6115</v>
      </c>
      <c r="C1528">
        <f>IF(B1528='🎯 一鍵查詢'!$C$5,COUNTIF($B$2:B1528,'🎯 一鍵查詢'!$C$5),"")</f>
        <v/>
      </c>
    </row>
    <row r="1529">
      <c r="A1529" t="n">
        <v>61153</v>
      </c>
      <c r="B1529" t="n">
        <v>6115</v>
      </c>
      <c r="C1529">
        <f>IF(B1529='🎯 一鍵查詢'!$C$5,COUNTIF($B$2:B1529,'🎯 一鍵查詢'!$C$5),"")</f>
        <v/>
      </c>
    </row>
    <row r="1530">
      <c r="A1530" t="n">
        <v>61171</v>
      </c>
      <c r="B1530" t="n">
        <v>6117</v>
      </c>
      <c r="C1530">
        <f>IF(B1530='🎯 一鍵查詢'!$C$5,COUNTIF($B$2:B1530,'🎯 一鍵查詢'!$C$5),"")</f>
        <v/>
      </c>
    </row>
    <row r="1531">
      <c r="A1531" t="n">
        <v>61172</v>
      </c>
      <c r="B1531" t="n">
        <v>6117</v>
      </c>
      <c r="C1531">
        <f>IF(B1531='🎯 一鍵查詢'!$C$5,COUNTIF($B$2:B1531,'🎯 一鍵查詢'!$C$5),"")</f>
        <v/>
      </c>
    </row>
    <row r="1532">
      <c r="A1532" t="n">
        <v>61181</v>
      </c>
      <c r="B1532" t="n">
        <v>6118</v>
      </c>
      <c r="C1532">
        <f>IF(B1532='🎯 一鍵查詢'!$C$5,COUNTIF($B$2:B1532,'🎯 一鍵查詢'!$C$5),"")</f>
        <v/>
      </c>
    </row>
    <row r="1533">
      <c r="A1533" t="n">
        <v>61182</v>
      </c>
      <c r="B1533" t="n">
        <v>6118</v>
      </c>
      <c r="C1533">
        <f>IF(B1533='🎯 一鍵查詢'!$C$5,COUNTIF($B$2:B1533,'🎯 一鍵查詢'!$C$5),"")</f>
        <v/>
      </c>
    </row>
    <row r="1534">
      <c r="A1534" t="n">
        <v>61191</v>
      </c>
      <c r="B1534" t="n">
        <v>6119</v>
      </c>
      <c r="C1534">
        <f>IF(B1534='🎯 一鍵查詢'!$C$5,COUNTIF($B$2:B1534,'🎯 一鍵查詢'!$C$5),"")</f>
        <v/>
      </c>
    </row>
    <row r="1535">
      <c r="A1535" t="n">
        <v>61192</v>
      </c>
      <c r="B1535" t="n">
        <v>6119</v>
      </c>
      <c r="C1535">
        <f>IF(B1535='🎯 一鍵查詢'!$C$5,COUNTIF($B$2:B1535,'🎯 一鍵查詢'!$C$5),"")</f>
        <v/>
      </c>
    </row>
    <row r="1536">
      <c r="A1536" t="n">
        <v>61201</v>
      </c>
      <c r="B1536" t="n">
        <v>6120</v>
      </c>
      <c r="C1536">
        <f>IF(B1536='🎯 一鍵查詢'!$C$5,COUNTIF($B$2:B1536,'🎯 一鍵查詢'!$C$5),"")</f>
        <v/>
      </c>
    </row>
    <row r="1537">
      <c r="A1537" t="n">
        <v>61202</v>
      </c>
      <c r="B1537" t="n">
        <v>6120</v>
      </c>
      <c r="C1537">
        <f>IF(B1537='🎯 一鍵查詢'!$C$5,COUNTIF($B$2:B1537,'🎯 一鍵查詢'!$C$5),"")</f>
        <v/>
      </c>
    </row>
    <row r="1538">
      <c r="A1538" t="n">
        <v>61203</v>
      </c>
      <c r="B1538" t="n">
        <v>6120</v>
      </c>
      <c r="C1538">
        <f>IF(B1538='🎯 一鍵查詢'!$C$5,COUNTIF($B$2:B1538,'🎯 一鍵查詢'!$C$5),"")</f>
        <v/>
      </c>
    </row>
    <row r="1539">
      <c r="A1539" t="n">
        <v>61204</v>
      </c>
      <c r="B1539" t="n">
        <v>6120</v>
      </c>
      <c r="C1539">
        <f>IF(B1539='🎯 一鍵查詢'!$C$5,COUNTIF($B$2:B1539,'🎯 一鍵查詢'!$C$5),"")</f>
        <v/>
      </c>
    </row>
    <row r="1540">
      <c r="A1540" t="n">
        <v>61211</v>
      </c>
      <c r="B1540" t="n">
        <v>6121</v>
      </c>
      <c r="C1540">
        <f>IF(B1540='🎯 一鍵查詢'!$C$5,COUNTIF($B$2:B1540,'🎯 一鍵查詢'!$C$5),"")</f>
        <v/>
      </c>
    </row>
    <row r="1541">
      <c r="A1541" t="n">
        <v>61221</v>
      </c>
      <c r="B1541" t="n">
        <v>6122</v>
      </c>
      <c r="C1541">
        <f>IF(B1541='🎯 一鍵查詢'!$C$5,COUNTIF($B$2:B1541,'🎯 一鍵查詢'!$C$5),"")</f>
        <v/>
      </c>
    </row>
    <row r="1542">
      <c r="A1542" t="n">
        <v>61222</v>
      </c>
      <c r="B1542" t="n">
        <v>6122</v>
      </c>
      <c r="C1542">
        <f>IF(B1542='🎯 一鍵查詢'!$C$5,COUNTIF($B$2:B1542,'🎯 一鍵查詢'!$C$5),"")</f>
        <v/>
      </c>
    </row>
    <row r="1543">
      <c r="A1543" t="n">
        <v>61231</v>
      </c>
      <c r="B1543" t="n">
        <v>6123</v>
      </c>
      <c r="C1543">
        <f>IF(B1543='🎯 一鍵查詢'!$C$5,COUNTIF($B$2:B1543,'🎯 一鍵查詢'!$C$5),"")</f>
        <v/>
      </c>
    </row>
    <row r="1544">
      <c r="A1544" t="n">
        <v>61232</v>
      </c>
      <c r="B1544" t="n">
        <v>6123</v>
      </c>
      <c r="C1544">
        <f>IF(B1544='🎯 一鍵查詢'!$C$5,COUNTIF($B$2:B1544,'🎯 一鍵查詢'!$C$5),"")</f>
        <v/>
      </c>
    </row>
    <row r="1545">
      <c r="A1545" t="n">
        <v>61251</v>
      </c>
      <c r="B1545" t="n">
        <v>6125</v>
      </c>
      <c r="C1545">
        <f>IF(B1545='🎯 一鍵查詢'!$C$5,COUNTIF($B$2:B1545,'🎯 一鍵查詢'!$C$5),"")</f>
        <v/>
      </c>
    </row>
    <row r="1546">
      <c r="A1546" t="n">
        <v>61252</v>
      </c>
      <c r="B1546" t="n">
        <v>6125</v>
      </c>
      <c r="C1546">
        <f>IF(B1546='🎯 一鍵查詢'!$C$5,COUNTIF($B$2:B1546,'🎯 一鍵查詢'!$C$5),"")</f>
        <v/>
      </c>
    </row>
    <row r="1547">
      <c r="A1547" t="n">
        <v>61253</v>
      </c>
      <c r="B1547" t="n">
        <v>6125</v>
      </c>
      <c r="C1547">
        <f>IF(B1547='🎯 一鍵查詢'!$C$5,COUNTIF($B$2:B1547,'🎯 一鍵查詢'!$C$5),"")</f>
        <v/>
      </c>
    </row>
    <row r="1548">
      <c r="A1548" t="n">
        <v>61254</v>
      </c>
      <c r="B1548" t="n">
        <v>6125</v>
      </c>
      <c r="C1548">
        <f>IF(B1548='🎯 一鍵查詢'!$C$5,COUNTIF($B$2:B1548,'🎯 一鍵查詢'!$C$5),"")</f>
        <v/>
      </c>
    </row>
    <row r="1549">
      <c r="A1549" t="n">
        <v>61255</v>
      </c>
      <c r="B1549" t="n">
        <v>6125</v>
      </c>
      <c r="C1549">
        <f>IF(B1549='🎯 一鍵查詢'!$C$5,COUNTIF($B$2:B1549,'🎯 一鍵查詢'!$C$5),"")</f>
        <v/>
      </c>
    </row>
    <row r="1550">
      <c r="A1550" t="n">
        <v>61261</v>
      </c>
      <c r="B1550" t="n">
        <v>6126</v>
      </c>
      <c r="C1550">
        <f>IF(B1550='🎯 一鍵查詢'!$C$5,COUNTIF($B$2:B1550,'🎯 一鍵查詢'!$C$5),"")</f>
        <v/>
      </c>
    </row>
    <row r="1551">
      <c r="A1551" t="n">
        <v>61262</v>
      </c>
      <c r="B1551" t="n">
        <v>6126</v>
      </c>
      <c r="C1551">
        <f>IF(B1551='🎯 一鍵查詢'!$C$5,COUNTIF($B$2:B1551,'🎯 一鍵查詢'!$C$5),"")</f>
        <v/>
      </c>
    </row>
    <row r="1552">
      <c r="A1552" t="n">
        <v>61263</v>
      </c>
      <c r="B1552" t="n">
        <v>6126</v>
      </c>
      <c r="C1552">
        <f>IF(B1552='🎯 一鍵查詢'!$C$5,COUNTIF($B$2:B1552,'🎯 一鍵查詢'!$C$5),"")</f>
        <v/>
      </c>
    </row>
    <row r="1553">
      <c r="A1553" t="n">
        <v>61271</v>
      </c>
      <c r="B1553" t="n">
        <v>6127</v>
      </c>
      <c r="C1553">
        <f>IF(B1553='🎯 一鍵查詢'!$C$5,COUNTIF($B$2:B1553,'🎯 一鍵查詢'!$C$5),"")</f>
        <v/>
      </c>
    </row>
    <row r="1554">
      <c r="A1554" t="n">
        <v>61272</v>
      </c>
      <c r="B1554" t="n">
        <v>6127</v>
      </c>
      <c r="C1554">
        <f>IF(B1554='🎯 一鍵查詢'!$C$5,COUNTIF($B$2:B1554,'🎯 一鍵查詢'!$C$5),"")</f>
        <v/>
      </c>
    </row>
    <row r="1555">
      <c r="A1555" t="n">
        <v>61273</v>
      </c>
      <c r="B1555" t="n">
        <v>6127</v>
      </c>
      <c r="C1555">
        <f>IF(B1555='🎯 一鍵查詢'!$C$5,COUNTIF($B$2:B1555,'🎯 一鍵查詢'!$C$5),"")</f>
        <v/>
      </c>
    </row>
    <row r="1556">
      <c r="A1556" t="n">
        <v>61274</v>
      </c>
      <c r="B1556" t="n">
        <v>6127</v>
      </c>
      <c r="C1556">
        <f>IF(B1556='🎯 一鍵查詢'!$C$5,COUNTIF($B$2:B1556,'🎯 一鍵查詢'!$C$5),"")</f>
        <v/>
      </c>
    </row>
    <row r="1557">
      <c r="A1557" t="n">
        <v>61291</v>
      </c>
      <c r="B1557" t="n">
        <v>6129</v>
      </c>
      <c r="C1557">
        <f>IF(B1557='🎯 一鍵查詢'!$C$5,COUNTIF($B$2:B1557,'🎯 一鍵查詢'!$C$5),"")</f>
        <v/>
      </c>
    </row>
    <row r="1558">
      <c r="A1558" t="n">
        <v>61311</v>
      </c>
      <c r="B1558" t="n">
        <v>6131</v>
      </c>
      <c r="C1558">
        <f>IF(B1558='🎯 一鍵查詢'!$C$5,COUNTIF($B$2:B1558,'🎯 一鍵查詢'!$C$5),"")</f>
        <v/>
      </c>
    </row>
    <row r="1559">
      <c r="A1559" t="n">
        <v>61312</v>
      </c>
      <c r="B1559" t="n">
        <v>6131</v>
      </c>
      <c r="C1559">
        <f>IF(B1559='🎯 一鍵查詢'!$C$5,COUNTIF($B$2:B1559,'🎯 一鍵查詢'!$C$5),"")</f>
        <v/>
      </c>
    </row>
    <row r="1560">
      <c r="A1560" t="n">
        <v>61321</v>
      </c>
      <c r="B1560" t="n">
        <v>6132</v>
      </c>
      <c r="C1560">
        <f>IF(B1560='🎯 一鍵查詢'!$C$5,COUNTIF($B$2:B1560,'🎯 一鍵查詢'!$C$5),"")</f>
        <v/>
      </c>
    </row>
    <row r="1561">
      <c r="A1561" t="n">
        <v>61331</v>
      </c>
      <c r="B1561" t="n">
        <v>6133</v>
      </c>
      <c r="C1561">
        <f>IF(B1561='🎯 一鍵查詢'!$C$5,COUNTIF($B$2:B1561,'🎯 一鍵查詢'!$C$5),"")</f>
        <v/>
      </c>
    </row>
    <row r="1562">
      <c r="A1562" t="n">
        <v>61332</v>
      </c>
      <c r="B1562" t="n">
        <v>6133</v>
      </c>
      <c r="C1562">
        <f>IF(B1562='🎯 一鍵查詢'!$C$5,COUNTIF($B$2:B1562,'🎯 一鍵查詢'!$C$5),"")</f>
        <v/>
      </c>
    </row>
    <row r="1563">
      <c r="A1563" t="n">
        <v>61341</v>
      </c>
      <c r="B1563" t="n">
        <v>6134</v>
      </c>
      <c r="C1563">
        <f>IF(B1563='🎯 一鍵查詢'!$C$5,COUNTIF($B$2:B1563,'🎯 一鍵查詢'!$C$5),"")</f>
        <v/>
      </c>
    </row>
    <row r="1564">
      <c r="A1564" t="n">
        <v>61342</v>
      </c>
      <c r="B1564" t="n">
        <v>6134</v>
      </c>
      <c r="C1564">
        <f>IF(B1564='🎯 一鍵查詢'!$C$5,COUNTIF($B$2:B1564,'🎯 一鍵查詢'!$C$5),"")</f>
        <v/>
      </c>
    </row>
    <row r="1565">
      <c r="A1565" t="n">
        <v>61351</v>
      </c>
      <c r="B1565" t="n">
        <v>6135</v>
      </c>
      <c r="C1565">
        <f>IF(B1565='🎯 一鍵查詢'!$C$5,COUNTIF($B$2:B1565,'🎯 一鍵查詢'!$C$5),"")</f>
        <v/>
      </c>
    </row>
    <row r="1566">
      <c r="A1566" t="n">
        <v>61361</v>
      </c>
      <c r="B1566" t="n">
        <v>6136</v>
      </c>
      <c r="C1566">
        <f>IF(B1566='🎯 一鍵查詢'!$C$5,COUNTIF($B$2:B1566,'🎯 一鍵查詢'!$C$5),"")</f>
        <v/>
      </c>
    </row>
    <row r="1567">
      <c r="A1567" t="n">
        <v>61362</v>
      </c>
      <c r="B1567" t="n">
        <v>6136</v>
      </c>
      <c r="C1567">
        <f>IF(B1567='🎯 一鍵查詢'!$C$5,COUNTIF($B$2:B1567,'🎯 一鍵查詢'!$C$5),"")</f>
        <v/>
      </c>
    </row>
    <row r="1568">
      <c r="A1568" t="n">
        <v>61381</v>
      </c>
      <c r="B1568" t="n">
        <v>6138</v>
      </c>
      <c r="C1568">
        <f>IF(B1568='🎯 一鍵查詢'!$C$5,COUNTIF($B$2:B1568,'🎯 一鍵查詢'!$C$5),"")</f>
        <v/>
      </c>
    </row>
    <row r="1569">
      <c r="A1569" t="n">
        <v>61391</v>
      </c>
      <c r="B1569" t="n">
        <v>6139</v>
      </c>
      <c r="C1569">
        <f>IF(B1569='🎯 一鍵查詢'!$C$5,COUNTIF($B$2:B1569,'🎯 一鍵查詢'!$C$5),"")</f>
        <v/>
      </c>
    </row>
    <row r="1570">
      <c r="A1570" t="n">
        <v>61392</v>
      </c>
      <c r="B1570" t="n">
        <v>6139</v>
      </c>
      <c r="C1570">
        <f>IF(B1570='🎯 一鍵查詢'!$C$5,COUNTIF($B$2:B1570,'🎯 一鍵查詢'!$C$5),"")</f>
        <v/>
      </c>
    </row>
    <row r="1571">
      <c r="A1571" t="n">
        <v>61393</v>
      </c>
      <c r="B1571" t="n">
        <v>6139</v>
      </c>
      <c r="C1571">
        <f>IF(B1571='🎯 一鍵查詢'!$C$5,COUNTIF($B$2:B1571,'🎯 一鍵查詢'!$C$5),"")</f>
        <v/>
      </c>
    </row>
    <row r="1572">
      <c r="A1572" t="n">
        <v>61394</v>
      </c>
      <c r="B1572" t="n">
        <v>6139</v>
      </c>
      <c r="C1572">
        <f>IF(B1572='🎯 一鍵查詢'!$C$5,COUNTIF($B$2:B1572,'🎯 一鍵查詢'!$C$5),"")</f>
        <v/>
      </c>
    </row>
    <row r="1573">
      <c r="A1573" t="n">
        <v>61411</v>
      </c>
      <c r="B1573" t="n">
        <v>6141</v>
      </c>
      <c r="C1573">
        <f>IF(B1573='🎯 一鍵查詢'!$C$5,COUNTIF($B$2:B1573,'🎯 一鍵查詢'!$C$5),"")</f>
        <v/>
      </c>
    </row>
    <row r="1574">
      <c r="A1574" t="n">
        <v>61412</v>
      </c>
      <c r="B1574" t="n">
        <v>6141</v>
      </c>
      <c r="C1574">
        <f>IF(B1574='🎯 一鍵查詢'!$C$5,COUNTIF($B$2:B1574,'🎯 一鍵查詢'!$C$5),"")</f>
        <v/>
      </c>
    </row>
    <row r="1575">
      <c r="A1575" t="n">
        <v>61421</v>
      </c>
      <c r="B1575" t="n">
        <v>6142</v>
      </c>
      <c r="C1575">
        <f>IF(B1575='🎯 一鍵查詢'!$C$5,COUNTIF($B$2:B1575,'🎯 一鍵查詢'!$C$5),"")</f>
        <v/>
      </c>
    </row>
    <row r="1576">
      <c r="A1576" t="n">
        <v>61451</v>
      </c>
      <c r="B1576" t="n">
        <v>6145</v>
      </c>
      <c r="C1576">
        <f>IF(B1576='🎯 一鍵查詢'!$C$5,COUNTIF($B$2:B1576,'🎯 一鍵查詢'!$C$5),"")</f>
        <v/>
      </c>
    </row>
    <row r="1577">
      <c r="A1577" t="n">
        <v>61461</v>
      </c>
      <c r="B1577" t="n">
        <v>6146</v>
      </c>
      <c r="C1577">
        <f>IF(B1577='🎯 一鍵查詢'!$C$5,COUNTIF($B$2:B1577,'🎯 一鍵查詢'!$C$5),"")</f>
        <v/>
      </c>
    </row>
    <row r="1578">
      <c r="A1578" t="n">
        <v>61462</v>
      </c>
      <c r="B1578" t="n">
        <v>6146</v>
      </c>
      <c r="C1578">
        <f>IF(B1578='🎯 一鍵查詢'!$C$5,COUNTIF($B$2:B1578,'🎯 一鍵查詢'!$C$5),"")</f>
        <v/>
      </c>
    </row>
    <row r="1579">
      <c r="A1579" t="n">
        <v>61471</v>
      </c>
      <c r="B1579" t="n">
        <v>6147</v>
      </c>
      <c r="C1579">
        <f>IF(B1579='🎯 一鍵查詢'!$C$5,COUNTIF($B$2:B1579,'🎯 一鍵查詢'!$C$5),"")</f>
        <v/>
      </c>
    </row>
    <row r="1580">
      <c r="A1580" t="n">
        <v>61472</v>
      </c>
      <c r="B1580" t="n">
        <v>6147</v>
      </c>
      <c r="C1580">
        <f>IF(B1580='🎯 一鍵查詢'!$C$5,COUNTIF($B$2:B1580,'🎯 一鍵查詢'!$C$5),"")</f>
        <v/>
      </c>
    </row>
    <row r="1581">
      <c r="A1581" t="n">
        <v>61501</v>
      </c>
      <c r="B1581" t="n">
        <v>6150</v>
      </c>
      <c r="C1581">
        <f>IF(B1581='🎯 一鍵查詢'!$C$5,COUNTIF($B$2:B1581,'🎯 一鍵查詢'!$C$5),"")</f>
        <v/>
      </c>
    </row>
    <row r="1582">
      <c r="A1582" t="n">
        <v>61502</v>
      </c>
      <c r="B1582" t="n">
        <v>6150</v>
      </c>
      <c r="C1582">
        <f>IF(B1582='🎯 一鍵查詢'!$C$5,COUNTIF($B$2:B1582,'🎯 一鍵查詢'!$C$5),"")</f>
        <v/>
      </c>
    </row>
    <row r="1583">
      <c r="A1583" t="n">
        <v>61503</v>
      </c>
      <c r="B1583" t="n">
        <v>6150</v>
      </c>
      <c r="C1583">
        <f>IF(B1583='🎯 一鍵查詢'!$C$5,COUNTIF($B$2:B1583,'🎯 一鍵查詢'!$C$5),"")</f>
        <v/>
      </c>
    </row>
    <row r="1584">
      <c r="A1584" t="n">
        <v>61504</v>
      </c>
      <c r="B1584" t="n">
        <v>6150</v>
      </c>
      <c r="C1584">
        <f>IF(B1584='🎯 一鍵查詢'!$C$5,COUNTIF($B$2:B1584,'🎯 一鍵查詢'!$C$5),"")</f>
        <v/>
      </c>
    </row>
    <row r="1585">
      <c r="A1585" t="n">
        <v>61505</v>
      </c>
      <c r="B1585" t="n">
        <v>6150</v>
      </c>
      <c r="C1585">
        <f>IF(B1585='🎯 一鍵查詢'!$C$5,COUNTIF($B$2:B1585,'🎯 一鍵查詢'!$C$5),"")</f>
        <v/>
      </c>
    </row>
    <row r="1586">
      <c r="A1586" t="n">
        <v>61506</v>
      </c>
      <c r="B1586" t="n">
        <v>6150</v>
      </c>
      <c r="C1586">
        <f>IF(B1586='🎯 一鍵查詢'!$C$5,COUNTIF($B$2:B1586,'🎯 一鍵查詢'!$C$5),"")</f>
        <v/>
      </c>
    </row>
    <row r="1587">
      <c r="A1587" t="n">
        <v>61521</v>
      </c>
      <c r="B1587" t="n">
        <v>6152</v>
      </c>
      <c r="C1587">
        <f>IF(B1587='🎯 一鍵查詢'!$C$5,COUNTIF($B$2:B1587,'🎯 一鍵查詢'!$C$5),"")</f>
        <v/>
      </c>
    </row>
    <row r="1588">
      <c r="A1588" t="n">
        <v>61522</v>
      </c>
      <c r="B1588" t="n">
        <v>6152</v>
      </c>
      <c r="C1588">
        <f>IF(B1588='🎯 一鍵查詢'!$C$5,COUNTIF($B$2:B1588,'🎯 一鍵查詢'!$C$5),"")</f>
        <v/>
      </c>
    </row>
    <row r="1589">
      <c r="A1589" t="n">
        <v>61531</v>
      </c>
      <c r="B1589" t="n">
        <v>6153</v>
      </c>
      <c r="C1589">
        <f>IF(B1589='🎯 一鍵查詢'!$C$5,COUNTIF($B$2:B1589,'🎯 一鍵查詢'!$C$5),"")</f>
        <v/>
      </c>
    </row>
    <row r="1590">
      <c r="A1590" t="n">
        <v>61532</v>
      </c>
      <c r="B1590" t="n">
        <v>6153</v>
      </c>
      <c r="C1590">
        <f>IF(B1590='🎯 一鍵查詢'!$C$5,COUNTIF($B$2:B1590,'🎯 一鍵查詢'!$C$5),"")</f>
        <v/>
      </c>
    </row>
    <row r="1591">
      <c r="A1591" t="n">
        <v>61533</v>
      </c>
      <c r="B1591" t="n">
        <v>6153</v>
      </c>
      <c r="C1591">
        <f>IF(B1591='🎯 一鍵查詢'!$C$5,COUNTIF($B$2:B1591,'🎯 一鍵查詢'!$C$5),"")</f>
        <v/>
      </c>
    </row>
    <row r="1592">
      <c r="A1592" t="n">
        <v>61534</v>
      </c>
      <c r="B1592" t="n">
        <v>6153</v>
      </c>
      <c r="C1592">
        <f>IF(B1592='🎯 一鍵查詢'!$C$5,COUNTIF($B$2:B1592,'🎯 一鍵查詢'!$C$5),"")</f>
        <v/>
      </c>
    </row>
    <row r="1593">
      <c r="A1593" t="n">
        <v>61551</v>
      </c>
      <c r="B1593" t="n">
        <v>6155</v>
      </c>
      <c r="C1593">
        <f>IF(B1593='🎯 一鍵查詢'!$C$5,COUNTIF($B$2:B1593,'🎯 一鍵查詢'!$C$5),"")</f>
        <v/>
      </c>
    </row>
    <row r="1594">
      <c r="A1594" t="n">
        <v>61552</v>
      </c>
      <c r="B1594" t="n">
        <v>6155</v>
      </c>
      <c r="C1594">
        <f>IF(B1594='🎯 一鍵查詢'!$C$5,COUNTIF($B$2:B1594,'🎯 一鍵查詢'!$C$5),"")</f>
        <v/>
      </c>
    </row>
    <row r="1595">
      <c r="A1595" t="n">
        <v>61561</v>
      </c>
      <c r="B1595" t="n">
        <v>6156</v>
      </c>
      <c r="C1595">
        <f>IF(B1595='🎯 一鍵查詢'!$C$5,COUNTIF($B$2:B1595,'🎯 一鍵查詢'!$C$5),"")</f>
        <v/>
      </c>
    </row>
    <row r="1596">
      <c r="A1596" t="n">
        <v>61562</v>
      </c>
      <c r="B1596" t="n">
        <v>6156</v>
      </c>
      <c r="C1596">
        <f>IF(B1596='🎯 一鍵查詢'!$C$5,COUNTIF($B$2:B1596,'🎯 一鍵查詢'!$C$5),"")</f>
        <v/>
      </c>
    </row>
    <row r="1597">
      <c r="A1597" t="n">
        <v>61563</v>
      </c>
      <c r="B1597" t="n">
        <v>6156</v>
      </c>
      <c r="C1597">
        <f>IF(B1597='🎯 一鍵查詢'!$C$5,COUNTIF($B$2:B1597,'🎯 一鍵查詢'!$C$5),"")</f>
        <v/>
      </c>
    </row>
    <row r="1598">
      <c r="A1598" t="n">
        <v>61564</v>
      </c>
      <c r="B1598" t="n">
        <v>6156</v>
      </c>
      <c r="C1598">
        <f>IF(B1598='🎯 一鍵查詢'!$C$5,COUNTIF($B$2:B1598,'🎯 一鍵查詢'!$C$5),"")</f>
        <v/>
      </c>
    </row>
    <row r="1599">
      <c r="A1599" t="n">
        <v>61565</v>
      </c>
      <c r="B1599" t="n">
        <v>6156</v>
      </c>
      <c r="C1599">
        <f>IF(B1599='🎯 一鍵查詢'!$C$5,COUNTIF($B$2:B1599,'🎯 一鍵查詢'!$C$5),"")</f>
        <v/>
      </c>
    </row>
    <row r="1600">
      <c r="A1600" t="n">
        <v>61581</v>
      </c>
      <c r="B1600" t="n">
        <v>6158</v>
      </c>
      <c r="C1600">
        <f>IF(B1600='🎯 一鍵查詢'!$C$5,COUNTIF($B$2:B1600,'🎯 一鍵查詢'!$C$5),"")</f>
        <v/>
      </c>
    </row>
    <row r="1601">
      <c r="A1601" t="n">
        <v>61591</v>
      </c>
      <c r="B1601" t="n">
        <v>6159</v>
      </c>
      <c r="C1601">
        <f>IF(B1601='🎯 一鍵查詢'!$C$5,COUNTIF($B$2:B1601,'🎯 一鍵查詢'!$C$5),"")</f>
        <v/>
      </c>
    </row>
    <row r="1602">
      <c r="A1602" t="n">
        <v>61592</v>
      </c>
      <c r="B1602" t="n">
        <v>6159</v>
      </c>
      <c r="C1602">
        <f>IF(B1602='🎯 一鍵查詢'!$C$5,COUNTIF($B$2:B1602,'🎯 一鍵查詢'!$C$5),"")</f>
        <v/>
      </c>
    </row>
    <row r="1603">
      <c r="A1603" t="n">
        <v>61593</v>
      </c>
      <c r="B1603" t="n">
        <v>6159</v>
      </c>
      <c r="C1603">
        <f>IF(B1603='🎯 一鍵查詢'!$C$5,COUNTIF($B$2:B1603,'🎯 一鍵查詢'!$C$5),"")</f>
        <v/>
      </c>
    </row>
    <row r="1604">
      <c r="A1604" t="n">
        <v>61611</v>
      </c>
      <c r="B1604" t="n">
        <v>6161</v>
      </c>
      <c r="C1604">
        <f>IF(B1604='🎯 一鍵查詢'!$C$5,COUNTIF($B$2:B1604,'🎯 一鍵查詢'!$C$5),"")</f>
        <v/>
      </c>
    </row>
    <row r="1605">
      <c r="A1605" t="n">
        <v>61612</v>
      </c>
      <c r="B1605" t="n">
        <v>6161</v>
      </c>
      <c r="C1605">
        <f>IF(B1605='🎯 一鍵查詢'!$C$5,COUNTIF($B$2:B1605,'🎯 一鍵查詢'!$C$5),"")</f>
        <v/>
      </c>
    </row>
    <row r="1606">
      <c r="A1606" t="n">
        <v>61613</v>
      </c>
      <c r="B1606" t="n">
        <v>6161</v>
      </c>
      <c r="C1606">
        <f>IF(B1606='🎯 一鍵查詢'!$C$5,COUNTIF($B$2:B1606,'🎯 一鍵查詢'!$C$5),"")</f>
        <v/>
      </c>
    </row>
    <row r="1607">
      <c r="A1607" t="n">
        <v>61621</v>
      </c>
      <c r="B1607" t="n">
        <v>6162</v>
      </c>
      <c r="C1607">
        <f>IF(B1607='🎯 一鍵查詢'!$C$5,COUNTIF($B$2:B1607,'🎯 一鍵查詢'!$C$5),"")</f>
        <v/>
      </c>
    </row>
    <row r="1608">
      <c r="A1608" t="n">
        <v>61632</v>
      </c>
      <c r="B1608" t="n">
        <v>6163</v>
      </c>
      <c r="C1608">
        <f>IF(B1608='🎯 一鍵查詢'!$C$5,COUNTIF($B$2:B1608,'🎯 一鍵查詢'!$C$5),"")</f>
        <v/>
      </c>
    </row>
    <row r="1609">
      <c r="A1609" t="n">
        <v>61633</v>
      </c>
      <c r="B1609" t="n">
        <v>6163</v>
      </c>
      <c r="C1609">
        <f>IF(B1609='🎯 一鍵查詢'!$C$5,COUNTIF($B$2:B1609,'🎯 一鍵查詢'!$C$5),"")</f>
        <v/>
      </c>
    </row>
    <row r="1610">
      <c r="A1610" t="n">
        <v>61634</v>
      </c>
      <c r="B1610" t="n">
        <v>6163</v>
      </c>
      <c r="C1610">
        <f>IF(B1610='🎯 一鍵查詢'!$C$5,COUNTIF($B$2:B1610,'🎯 一鍵查詢'!$C$5),"")</f>
        <v/>
      </c>
    </row>
    <row r="1611">
      <c r="A1611" t="n">
        <v>61635</v>
      </c>
      <c r="B1611" t="n">
        <v>6163</v>
      </c>
      <c r="C1611">
        <f>IF(B1611='🎯 一鍵查詢'!$C$5,COUNTIF($B$2:B1611,'🎯 一鍵查詢'!$C$5),"")</f>
        <v/>
      </c>
    </row>
    <row r="1612">
      <c r="A1612" t="n">
        <v>61641</v>
      </c>
      <c r="B1612" t="n">
        <v>6164</v>
      </c>
      <c r="C1612">
        <f>IF(B1612='🎯 一鍵查詢'!$C$5,COUNTIF($B$2:B1612,'🎯 一鍵查詢'!$C$5),"")</f>
        <v/>
      </c>
    </row>
    <row r="1613">
      <c r="A1613" t="n">
        <v>61642</v>
      </c>
      <c r="B1613" t="n">
        <v>6164</v>
      </c>
      <c r="C1613">
        <f>IF(B1613='🎯 一鍵查詢'!$C$5,COUNTIF($B$2:B1613,'🎯 一鍵查詢'!$C$5),"")</f>
        <v/>
      </c>
    </row>
    <row r="1614">
      <c r="A1614" t="n">
        <v>61661</v>
      </c>
      <c r="B1614" t="n">
        <v>6166</v>
      </c>
      <c r="C1614">
        <f>IF(B1614='🎯 一鍵查詢'!$C$5,COUNTIF($B$2:B1614,'🎯 一鍵查詢'!$C$5),"")</f>
        <v/>
      </c>
    </row>
    <row r="1615">
      <c r="A1615" t="n">
        <v>61671</v>
      </c>
      <c r="B1615" t="n">
        <v>6167</v>
      </c>
      <c r="C1615">
        <f>IF(B1615='🎯 一鍵查詢'!$C$5,COUNTIF($B$2:B1615,'🎯 一鍵查詢'!$C$5),"")</f>
        <v/>
      </c>
    </row>
    <row r="1616">
      <c r="A1616" t="n">
        <v>61681</v>
      </c>
      <c r="B1616" t="n">
        <v>6168</v>
      </c>
      <c r="C1616">
        <f>IF(B1616='🎯 一鍵查詢'!$C$5,COUNTIF($B$2:B1616,'🎯 一鍵查詢'!$C$5),"")</f>
        <v/>
      </c>
    </row>
    <row r="1617">
      <c r="A1617" t="n">
        <v>61682</v>
      </c>
      <c r="B1617" t="n">
        <v>6168</v>
      </c>
      <c r="C1617">
        <f>IF(B1617='🎯 一鍵查詢'!$C$5,COUNTIF($B$2:B1617,'🎯 一鍵查詢'!$C$5),"")</f>
        <v/>
      </c>
    </row>
    <row r="1618">
      <c r="A1618" t="n">
        <v>61683</v>
      </c>
      <c r="B1618" t="n">
        <v>6168</v>
      </c>
      <c r="C1618">
        <f>IF(B1618='🎯 一鍵查詢'!$C$5,COUNTIF($B$2:B1618,'🎯 一鍵查詢'!$C$5),"")</f>
        <v/>
      </c>
    </row>
    <row r="1619">
      <c r="A1619" t="n">
        <v>61684</v>
      </c>
      <c r="B1619" t="n">
        <v>6168</v>
      </c>
      <c r="C1619">
        <f>IF(B1619='🎯 一鍵查詢'!$C$5,COUNTIF($B$2:B1619,'🎯 一鍵查詢'!$C$5),"")</f>
        <v/>
      </c>
    </row>
    <row r="1620">
      <c r="A1620" t="n">
        <v>61701</v>
      </c>
      <c r="B1620" t="n">
        <v>6170</v>
      </c>
      <c r="C1620">
        <f>IF(B1620='🎯 一鍵查詢'!$C$5,COUNTIF($B$2:B1620,'🎯 一鍵查詢'!$C$5),"")</f>
        <v/>
      </c>
    </row>
    <row r="1621">
      <c r="A1621" t="n">
        <v>61702</v>
      </c>
      <c r="B1621" t="n">
        <v>6170</v>
      </c>
      <c r="C1621">
        <f>IF(B1621='🎯 一鍵查詢'!$C$5,COUNTIF($B$2:B1621,'🎯 一鍵查詢'!$C$5),"")</f>
        <v/>
      </c>
    </row>
    <row r="1622">
      <c r="A1622" t="n">
        <v>61703</v>
      </c>
      <c r="B1622" t="n">
        <v>6170</v>
      </c>
      <c r="C1622">
        <f>IF(B1622='🎯 一鍵查詢'!$C$5,COUNTIF($B$2:B1622,'🎯 一鍵查詢'!$C$5),"")</f>
        <v/>
      </c>
    </row>
    <row r="1623">
      <c r="A1623" t="n">
        <v>61721</v>
      </c>
      <c r="B1623" t="n">
        <v>6172</v>
      </c>
      <c r="C1623">
        <f>IF(B1623='🎯 一鍵查詢'!$C$5,COUNTIF($B$2:B1623,'🎯 一鍵查詢'!$C$5),"")</f>
        <v/>
      </c>
    </row>
    <row r="1624">
      <c r="A1624" t="n">
        <v>61731</v>
      </c>
      <c r="B1624" t="n">
        <v>6173</v>
      </c>
      <c r="C1624">
        <f>IF(B1624='🎯 一鍵查詢'!$C$5,COUNTIF($B$2:B1624,'🎯 一鍵查詢'!$C$5),"")</f>
        <v/>
      </c>
    </row>
    <row r="1625">
      <c r="A1625" t="n">
        <v>61732</v>
      </c>
      <c r="B1625" t="n">
        <v>6173</v>
      </c>
      <c r="C1625">
        <f>IF(B1625='🎯 一鍵查詢'!$C$5,COUNTIF($B$2:B1625,'🎯 一鍵查詢'!$C$5),"")</f>
        <v/>
      </c>
    </row>
    <row r="1626">
      <c r="A1626" t="n">
        <v>61741</v>
      </c>
      <c r="B1626" t="n">
        <v>6174</v>
      </c>
      <c r="C1626">
        <f>IF(B1626='🎯 一鍵查詢'!$C$5,COUNTIF($B$2:B1626,'🎯 一鍵查詢'!$C$5),"")</f>
        <v/>
      </c>
    </row>
    <row r="1627">
      <c r="A1627" t="n">
        <v>61742</v>
      </c>
      <c r="B1627" t="n">
        <v>6174</v>
      </c>
      <c r="C1627">
        <f>IF(B1627='🎯 一鍵查詢'!$C$5,COUNTIF($B$2:B1627,'🎯 一鍵查詢'!$C$5),"")</f>
        <v/>
      </c>
    </row>
    <row r="1628">
      <c r="A1628" t="n">
        <v>61751</v>
      </c>
      <c r="B1628" t="n">
        <v>6175</v>
      </c>
      <c r="C1628">
        <f>IF(B1628='🎯 一鍵查詢'!$C$5,COUNTIF($B$2:B1628,'🎯 一鍵查詢'!$C$5),"")</f>
        <v/>
      </c>
    </row>
    <row r="1629">
      <c r="A1629" t="n">
        <v>61752</v>
      </c>
      <c r="B1629" t="n">
        <v>6175</v>
      </c>
      <c r="C1629">
        <f>IF(B1629='🎯 一鍵查詢'!$C$5,COUNTIF($B$2:B1629,'🎯 一鍵查詢'!$C$5),"")</f>
        <v/>
      </c>
    </row>
    <row r="1630">
      <c r="A1630" t="n">
        <v>61753</v>
      </c>
      <c r="B1630" t="n">
        <v>6175</v>
      </c>
      <c r="C1630">
        <f>IF(B1630='🎯 一鍵查詢'!$C$5,COUNTIF($B$2:B1630,'🎯 一鍵查詢'!$C$5),"")</f>
        <v/>
      </c>
    </row>
    <row r="1631">
      <c r="A1631" t="n">
        <v>61754</v>
      </c>
      <c r="B1631" t="n">
        <v>6175</v>
      </c>
      <c r="C1631">
        <f>IF(B1631='🎯 一鍵查詢'!$C$5,COUNTIF($B$2:B1631,'🎯 一鍵查詢'!$C$5),"")</f>
        <v/>
      </c>
    </row>
    <row r="1632">
      <c r="A1632" t="n">
        <v>61761</v>
      </c>
      <c r="B1632" t="n">
        <v>6176</v>
      </c>
      <c r="C1632">
        <f>IF(B1632='🎯 一鍵查詢'!$C$5,COUNTIF($B$2:B1632,'🎯 一鍵查詢'!$C$5),"")</f>
        <v/>
      </c>
    </row>
    <row r="1633">
      <c r="A1633" t="n">
        <v>61771</v>
      </c>
      <c r="B1633" t="n">
        <v>6177</v>
      </c>
      <c r="C1633">
        <f>IF(B1633='🎯 一鍵查詢'!$C$5,COUNTIF($B$2:B1633,'🎯 一鍵查詢'!$C$5),"")</f>
        <v/>
      </c>
    </row>
    <row r="1634">
      <c r="A1634" t="n">
        <v>61772</v>
      </c>
      <c r="B1634" t="n">
        <v>6177</v>
      </c>
      <c r="C1634">
        <f>IF(B1634='🎯 一鍵查詢'!$C$5,COUNTIF($B$2:B1634,'🎯 一鍵查詢'!$C$5),"")</f>
        <v/>
      </c>
    </row>
    <row r="1635">
      <c r="A1635" t="n">
        <v>61773</v>
      </c>
      <c r="B1635" t="n">
        <v>6177</v>
      </c>
      <c r="C1635">
        <f>IF(B1635='🎯 一鍵查詢'!$C$5,COUNTIF($B$2:B1635,'🎯 一鍵查詢'!$C$5),"")</f>
        <v/>
      </c>
    </row>
    <row r="1636">
      <c r="A1636" t="n">
        <v>61774</v>
      </c>
      <c r="B1636" t="n">
        <v>6177</v>
      </c>
      <c r="C1636">
        <f>IF(B1636='🎯 一鍵查詢'!$C$5,COUNTIF($B$2:B1636,'🎯 一鍵查詢'!$C$5),"")</f>
        <v/>
      </c>
    </row>
    <row r="1637">
      <c r="A1637" t="n">
        <v>61775</v>
      </c>
      <c r="B1637" t="n">
        <v>6177</v>
      </c>
      <c r="C1637">
        <f>IF(B1637='🎯 一鍵查詢'!$C$5,COUNTIF($B$2:B1637,'🎯 一鍵查詢'!$C$5),"")</f>
        <v/>
      </c>
    </row>
    <row r="1638">
      <c r="A1638" t="n">
        <v>61776</v>
      </c>
      <c r="B1638" t="n">
        <v>6177</v>
      </c>
      <c r="C1638">
        <f>IF(B1638='🎯 一鍵查詢'!$C$5,COUNTIF($B$2:B1638,'🎯 一鍵查詢'!$C$5),"")</f>
        <v/>
      </c>
    </row>
    <row r="1639">
      <c r="A1639" t="n">
        <v>61777</v>
      </c>
      <c r="B1639" t="n">
        <v>6177</v>
      </c>
      <c r="C1639">
        <f>IF(B1639='🎯 一鍵查詢'!$C$5,COUNTIF($B$2:B1639,'🎯 一鍵查詢'!$C$5),"")</f>
        <v/>
      </c>
    </row>
    <row r="1640">
      <c r="A1640" t="n">
        <v>61781</v>
      </c>
      <c r="B1640" t="n">
        <v>6178</v>
      </c>
      <c r="C1640">
        <f>IF(B1640='🎯 一鍵查詢'!$C$5,COUNTIF($B$2:B1640,'🎯 一鍵查詢'!$C$5),"")</f>
        <v/>
      </c>
    </row>
    <row r="1641">
      <c r="A1641" t="n">
        <v>61782</v>
      </c>
      <c r="B1641" t="n">
        <v>6178</v>
      </c>
      <c r="C1641">
        <f>IF(B1641='🎯 一鍵查詢'!$C$5,COUNTIF($B$2:B1641,'🎯 一鍵查詢'!$C$5),"")</f>
        <v/>
      </c>
    </row>
    <row r="1642">
      <c r="A1642" t="n">
        <v>61791</v>
      </c>
      <c r="B1642" t="n">
        <v>6179</v>
      </c>
      <c r="C1642">
        <f>IF(B1642='🎯 一鍵查詢'!$C$5,COUNTIF($B$2:B1642,'🎯 一鍵查詢'!$C$5),"")</f>
        <v/>
      </c>
    </row>
    <row r="1643">
      <c r="A1643" t="n">
        <v>61792</v>
      </c>
      <c r="B1643" t="n">
        <v>6179</v>
      </c>
      <c r="C1643">
        <f>IF(B1643='🎯 一鍵查詢'!$C$5,COUNTIF($B$2:B1643,'🎯 一鍵查詢'!$C$5),"")</f>
        <v/>
      </c>
    </row>
    <row r="1644">
      <c r="A1644" t="n">
        <v>61793</v>
      </c>
      <c r="B1644" t="n">
        <v>6179</v>
      </c>
      <c r="C1644">
        <f>IF(B1644='🎯 一鍵查詢'!$C$5,COUNTIF($B$2:B1644,'🎯 一鍵查詢'!$C$5),"")</f>
        <v/>
      </c>
    </row>
    <row r="1645">
      <c r="A1645" t="n">
        <v>61794</v>
      </c>
      <c r="B1645" t="n">
        <v>6179</v>
      </c>
      <c r="C1645">
        <f>IF(B1645='🎯 一鍵查詢'!$C$5,COUNTIF($B$2:B1645,'🎯 一鍵查詢'!$C$5),"")</f>
        <v/>
      </c>
    </row>
    <row r="1646">
      <c r="A1646" t="n">
        <v>61801</v>
      </c>
      <c r="B1646" t="n">
        <v>6180</v>
      </c>
      <c r="C1646">
        <f>IF(B1646='🎯 一鍵查詢'!$C$5,COUNTIF($B$2:B1646,'🎯 一鍵查詢'!$C$5),"")</f>
        <v/>
      </c>
    </row>
    <row r="1647">
      <c r="A1647" t="n">
        <v>61811</v>
      </c>
      <c r="B1647" t="n">
        <v>6181</v>
      </c>
      <c r="C1647">
        <f>IF(B1647='🎯 一鍵查詢'!$C$5,COUNTIF($B$2:B1647,'🎯 一鍵查詢'!$C$5),"")</f>
        <v/>
      </c>
    </row>
    <row r="1648">
      <c r="A1648" t="n">
        <v>61821</v>
      </c>
      <c r="B1648" t="n">
        <v>6182</v>
      </c>
      <c r="C1648">
        <f>IF(B1648='🎯 一鍵查詢'!$C$5,COUNTIF($B$2:B1648,'🎯 一鍵查詢'!$C$5),"")</f>
        <v/>
      </c>
    </row>
    <row r="1649">
      <c r="A1649" t="n">
        <v>61822</v>
      </c>
      <c r="B1649" t="n">
        <v>6182</v>
      </c>
      <c r="C1649">
        <f>IF(B1649='🎯 一鍵查詢'!$C$5,COUNTIF($B$2:B1649,'🎯 一鍵查詢'!$C$5),"")</f>
        <v/>
      </c>
    </row>
    <row r="1650">
      <c r="A1650" t="n">
        <v>61823</v>
      </c>
      <c r="B1650" t="n">
        <v>6182</v>
      </c>
      <c r="C1650">
        <f>IF(B1650='🎯 一鍵查詢'!$C$5,COUNTIF($B$2:B1650,'🎯 一鍵查詢'!$C$5),"")</f>
        <v/>
      </c>
    </row>
    <row r="1651">
      <c r="A1651" t="n">
        <v>61824</v>
      </c>
      <c r="B1651" t="n">
        <v>6182</v>
      </c>
      <c r="C1651">
        <f>IF(B1651='🎯 一鍵查詢'!$C$5,COUNTIF($B$2:B1651,'🎯 一鍵查詢'!$C$5),"")</f>
        <v/>
      </c>
    </row>
    <row r="1652">
      <c r="A1652" t="n">
        <v>61825</v>
      </c>
      <c r="B1652" t="n">
        <v>6182</v>
      </c>
      <c r="C1652">
        <f>IF(B1652='🎯 一鍵查詢'!$C$5,COUNTIF($B$2:B1652,'🎯 一鍵查詢'!$C$5),"")</f>
        <v/>
      </c>
    </row>
    <row r="1653">
      <c r="A1653" t="n">
        <v>61826</v>
      </c>
      <c r="B1653" t="n">
        <v>6182</v>
      </c>
      <c r="C1653">
        <f>IF(B1653='🎯 一鍵查詢'!$C$5,COUNTIF($B$2:B1653,'🎯 一鍵查詢'!$C$5),"")</f>
        <v/>
      </c>
    </row>
    <row r="1654">
      <c r="A1654" t="n">
        <v>61827</v>
      </c>
      <c r="B1654" t="n">
        <v>6182</v>
      </c>
      <c r="C1654">
        <f>IF(B1654='🎯 一鍵查詢'!$C$5,COUNTIF($B$2:B1654,'🎯 一鍵查詢'!$C$5),"")</f>
        <v/>
      </c>
    </row>
    <row r="1655">
      <c r="A1655" t="n">
        <v>61828</v>
      </c>
      <c r="B1655" t="n">
        <v>6182</v>
      </c>
      <c r="C1655">
        <f>IF(B1655='🎯 一鍵查詢'!$C$5,COUNTIF($B$2:B1655,'🎯 一鍵查詢'!$C$5),"")</f>
        <v/>
      </c>
    </row>
    <row r="1656">
      <c r="A1656" t="n">
        <v>61841</v>
      </c>
      <c r="B1656" t="n">
        <v>6184</v>
      </c>
      <c r="C1656">
        <f>IF(B1656='🎯 一鍵查詢'!$C$5,COUNTIF($B$2:B1656,'🎯 一鍵查詢'!$C$5),"")</f>
        <v/>
      </c>
    </row>
    <row r="1657">
      <c r="A1657" t="n">
        <v>61842</v>
      </c>
      <c r="B1657" t="n">
        <v>6184</v>
      </c>
      <c r="C1657">
        <f>IF(B1657='🎯 一鍵查詢'!$C$5,COUNTIF($B$2:B1657,'🎯 一鍵查詢'!$C$5),"")</f>
        <v/>
      </c>
    </row>
    <row r="1658">
      <c r="A1658" t="n">
        <v>61843</v>
      </c>
      <c r="B1658" t="n">
        <v>6184</v>
      </c>
      <c r="C1658">
        <f>IF(B1658='🎯 一鍵查詢'!$C$5,COUNTIF($B$2:B1658,'🎯 一鍵查詢'!$C$5),"")</f>
        <v/>
      </c>
    </row>
    <row r="1659">
      <c r="A1659" t="n">
        <v>61851</v>
      </c>
      <c r="B1659" t="n">
        <v>6185</v>
      </c>
      <c r="C1659">
        <f>IF(B1659='🎯 一鍵查詢'!$C$5,COUNTIF($B$2:B1659,'🎯 一鍵查詢'!$C$5),"")</f>
        <v/>
      </c>
    </row>
    <row r="1660">
      <c r="A1660" t="n">
        <v>61861</v>
      </c>
      <c r="B1660" t="n">
        <v>6186</v>
      </c>
      <c r="C1660">
        <f>IF(B1660='🎯 一鍵查詢'!$C$5,COUNTIF($B$2:B1660,'🎯 一鍵查詢'!$C$5),"")</f>
        <v/>
      </c>
    </row>
    <row r="1661">
      <c r="A1661" t="n">
        <v>61862</v>
      </c>
      <c r="B1661" t="n">
        <v>6186</v>
      </c>
      <c r="C1661">
        <f>IF(B1661='🎯 一鍵查詢'!$C$5,COUNTIF($B$2:B1661,'🎯 一鍵查詢'!$C$5),"")</f>
        <v/>
      </c>
    </row>
    <row r="1662">
      <c r="A1662" t="n">
        <v>61871</v>
      </c>
      <c r="B1662" t="n">
        <v>6187</v>
      </c>
      <c r="C1662">
        <f>IF(B1662='🎯 一鍵查詢'!$C$5,COUNTIF($B$2:B1662,'🎯 一鍵查詢'!$C$5),"")</f>
        <v/>
      </c>
    </row>
    <row r="1663">
      <c r="A1663" t="n">
        <v>61872</v>
      </c>
      <c r="B1663" t="n">
        <v>6187</v>
      </c>
      <c r="C1663">
        <f>IF(B1663='🎯 一鍵查詢'!$C$5,COUNTIF($B$2:B1663,'🎯 一鍵查詢'!$C$5),"")</f>
        <v/>
      </c>
    </row>
    <row r="1664">
      <c r="A1664" t="n">
        <v>61873</v>
      </c>
      <c r="B1664" t="n">
        <v>6187</v>
      </c>
      <c r="C1664">
        <f>IF(B1664='🎯 一鍵查詢'!$C$5,COUNTIF($B$2:B1664,'🎯 一鍵查詢'!$C$5),"")</f>
        <v/>
      </c>
    </row>
    <row r="1665">
      <c r="A1665" t="n">
        <v>61874</v>
      </c>
      <c r="B1665" t="n">
        <v>6187</v>
      </c>
      <c r="C1665">
        <f>IF(B1665='🎯 一鍵查詢'!$C$5,COUNTIF($B$2:B1665,'🎯 一鍵查詢'!$C$5),"")</f>
        <v/>
      </c>
    </row>
    <row r="1666">
      <c r="A1666" t="n">
        <v>61875</v>
      </c>
      <c r="B1666" t="n">
        <v>6187</v>
      </c>
      <c r="C1666">
        <f>IF(B1666='🎯 一鍵查詢'!$C$5,COUNTIF($B$2:B1666,'🎯 一鍵查詢'!$C$5),"")</f>
        <v/>
      </c>
    </row>
    <row r="1667">
      <c r="A1667" t="n">
        <v>61891</v>
      </c>
      <c r="B1667" t="n">
        <v>6189</v>
      </c>
      <c r="C1667">
        <f>IF(B1667='🎯 一鍵查詢'!$C$5,COUNTIF($B$2:B1667,'🎯 一鍵查詢'!$C$5),"")</f>
        <v/>
      </c>
    </row>
    <row r="1668">
      <c r="A1668" t="n">
        <v>61892</v>
      </c>
      <c r="B1668" t="n">
        <v>6189</v>
      </c>
      <c r="C1668">
        <f>IF(B1668='🎯 一鍵查詢'!$C$5,COUNTIF($B$2:B1668,'🎯 一鍵查詢'!$C$5),"")</f>
        <v/>
      </c>
    </row>
    <row r="1669">
      <c r="A1669" t="n">
        <v>61893</v>
      </c>
      <c r="B1669" t="n">
        <v>6189</v>
      </c>
      <c r="C1669">
        <f>IF(B1669='🎯 一鍵查詢'!$C$5,COUNTIF($B$2:B1669,'🎯 一鍵查詢'!$C$5),"")</f>
        <v/>
      </c>
    </row>
    <row r="1670">
      <c r="A1670" t="n">
        <v>61894</v>
      </c>
      <c r="B1670" t="n">
        <v>6189</v>
      </c>
      <c r="C1670">
        <f>IF(B1670='🎯 一鍵查詢'!$C$5,COUNTIF($B$2:B1670,'🎯 一鍵查詢'!$C$5),"")</f>
        <v/>
      </c>
    </row>
    <row r="1671">
      <c r="A1671" t="n">
        <v>61901</v>
      </c>
      <c r="B1671" t="n">
        <v>6190</v>
      </c>
      <c r="C1671">
        <f>IF(B1671='🎯 一鍵查詢'!$C$5,COUNTIF($B$2:B1671,'🎯 一鍵查詢'!$C$5),"")</f>
        <v/>
      </c>
    </row>
    <row r="1672">
      <c r="A1672" t="n">
        <v>61902</v>
      </c>
      <c r="B1672" t="n">
        <v>6190</v>
      </c>
      <c r="C1672">
        <f>IF(B1672='🎯 一鍵查詢'!$C$5,COUNTIF($B$2:B1672,'🎯 一鍵查詢'!$C$5),"")</f>
        <v/>
      </c>
    </row>
    <row r="1673">
      <c r="A1673" t="n">
        <v>61903</v>
      </c>
      <c r="B1673" t="n">
        <v>6190</v>
      </c>
      <c r="C1673">
        <f>IF(B1673='🎯 一鍵查詢'!$C$5,COUNTIF($B$2:B1673,'🎯 一鍵查詢'!$C$5),"")</f>
        <v/>
      </c>
    </row>
    <row r="1674">
      <c r="A1674" t="n">
        <v>61904</v>
      </c>
      <c r="B1674" t="n">
        <v>6190</v>
      </c>
      <c r="C1674">
        <f>IF(B1674='🎯 一鍵查詢'!$C$5,COUNTIF($B$2:B1674,'🎯 一鍵查詢'!$C$5),"")</f>
        <v/>
      </c>
    </row>
    <row r="1675">
      <c r="A1675" t="n">
        <v>61905</v>
      </c>
      <c r="B1675" t="n">
        <v>6190</v>
      </c>
      <c r="C1675">
        <f>IF(B1675='🎯 一鍵查詢'!$C$5,COUNTIF($B$2:B1675,'🎯 一鍵查詢'!$C$5),"")</f>
        <v/>
      </c>
    </row>
    <row r="1676">
      <c r="A1676" t="n">
        <v>61906</v>
      </c>
      <c r="B1676" t="n">
        <v>6190</v>
      </c>
      <c r="C1676">
        <f>IF(B1676='🎯 一鍵查詢'!$C$5,COUNTIF($B$2:B1676,'🎯 一鍵查詢'!$C$5),"")</f>
        <v/>
      </c>
    </row>
    <row r="1677">
      <c r="A1677" t="n">
        <v>61907</v>
      </c>
      <c r="B1677" t="n">
        <v>6190</v>
      </c>
      <c r="C1677">
        <f>IF(B1677='🎯 一鍵查詢'!$C$5,COUNTIF($B$2:B1677,'🎯 一鍵查詢'!$C$5),"")</f>
        <v/>
      </c>
    </row>
    <row r="1678">
      <c r="A1678" t="n">
        <v>61911</v>
      </c>
      <c r="B1678" t="n">
        <v>6191</v>
      </c>
      <c r="C1678">
        <f>IF(B1678='🎯 一鍵查詢'!$C$5,COUNTIF($B$2:B1678,'🎯 一鍵查詢'!$C$5),"")</f>
        <v/>
      </c>
    </row>
    <row r="1679">
      <c r="A1679" t="n">
        <v>61931</v>
      </c>
      <c r="B1679" t="n">
        <v>6193</v>
      </c>
      <c r="C1679">
        <f>IF(B1679='🎯 一鍵查詢'!$C$5,COUNTIF($B$2:B1679,'🎯 一鍵查詢'!$C$5),"")</f>
        <v/>
      </c>
    </row>
    <row r="1680">
      <c r="A1680" t="n">
        <v>61941</v>
      </c>
      <c r="B1680" t="n">
        <v>6194</v>
      </c>
      <c r="C1680">
        <f>IF(B1680='🎯 一鍵查詢'!$C$5,COUNTIF($B$2:B1680,'🎯 一鍵查詢'!$C$5),"")</f>
        <v/>
      </c>
    </row>
    <row r="1681">
      <c r="A1681" t="n">
        <v>61952</v>
      </c>
      <c r="B1681" t="n">
        <v>6195</v>
      </c>
      <c r="C1681">
        <f>IF(B1681='🎯 一鍵查詢'!$C$5,COUNTIF($B$2:B1681,'🎯 一鍵查詢'!$C$5),"")</f>
        <v/>
      </c>
    </row>
    <row r="1682">
      <c r="A1682" t="n">
        <v>61961</v>
      </c>
      <c r="B1682" t="n">
        <v>6196</v>
      </c>
      <c r="C1682">
        <f>IF(B1682='🎯 一鍵查詢'!$C$5,COUNTIF($B$2:B1682,'🎯 一鍵查詢'!$C$5),"")</f>
        <v/>
      </c>
    </row>
    <row r="1683">
      <c r="A1683" t="n">
        <v>61962</v>
      </c>
      <c r="B1683" t="n">
        <v>6196</v>
      </c>
      <c r="C1683">
        <f>IF(B1683='🎯 一鍵查詢'!$C$5,COUNTIF($B$2:B1683,'🎯 一鍵查詢'!$C$5),"")</f>
        <v/>
      </c>
    </row>
    <row r="1684">
      <c r="A1684" t="n">
        <v>61963</v>
      </c>
      <c r="B1684" t="n">
        <v>6196</v>
      </c>
      <c r="C1684">
        <f>IF(B1684='🎯 一鍵查詢'!$C$5,COUNTIF($B$2:B1684,'🎯 一鍵查詢'!$C$5),"")</f>
        <v/>
      </c>
    </row>
    <row r="1685">
      <c r="A1685" t="n">
        <v>61964</v>
      </c>
      <c r="B1685" t="n">
        <v>6196</v>
      </c>
      <c r="C1685">
        <f>IF(B1685='🎯 一鍵查詢'!$C$5,COUNTIF($B$2:B1685,'🎯 一鍵查詢'!$C$5),"")</f>
        <v/>
      </c>
    </row>
    <row r="1686">
      <c r="A1686" t="n">
        <v>61965</v>
      </c>
      <c r="B1686" t="n">
        <v>6196</v>
      </c>
      <c r="C1686">
        <f>IF(B1686='🎯 一鍵查詢'!$C$5,COUNTIF($B$2:B1686,'🎯 一鍵查詢'!$C$5),"")</f>
        <v/>
      </c>
    </row>
    <row r="1687">
      <c r="A1687" t="n">
        <v>61971</v>
      </c>
      <c r="B1687" t="n">
        <v>6197</v>
      </c>
      <c r="C1687">
        <f>IF(B1687='🎯 一鍵查詢'!$C$5,COUNTIF($B$2:B1687,'🎯 一鍵查詢'!$C$5),"")</f>
        <v/>
      </c>
    </row>
    <row r="1688">
      <c r="A1688" t="n">
        <v>61972</v>
      </c>
      <c r="B1688" t="n">
        <v>6197</v>
      </c>
      <c r="C1688">
        <f>IF(B1688='🎯 一鍵查詢'!$C$5,COUNTIF($B$2:B1688,'🎯 一鍵查詢'!$C$5),"")</f>
        <v/>
      </c>
    </row>
    <row r="1689">
      <c r="A1689" t="n">
        <v>61973</v>
      </c>
      <c r="B1689" t="n">
        <v>6197</v>
      </c>
      <c r="C1689">
        <f>IF(B1689='🎯 一鍵查詢'!$C$5,COUNTIF($B$2:B1689,'🎯 一鍵查詢'!$C$5),"")</f>
        <v/>
      </c>
    </row>
    <row r="1690">
      <c r="A1690" t="n">
        <v>61981</v>
      </c>
      <c r="B1690" t="n">
        <v>6198</v>
      </c>
      <c r="C1690">
        <f>IF(B1690='🎯 一鍵查詢'!$C$5,COUNTIF($B$2:B1690,'🎯 一鍵查詢'!$C$5),"")</f>
        <v/>
      </c>
    </row>
    <row r="1691">
      <c r="A1691" t="n">
        <v>61991</v>
      </c>
      <c r="B1691" t="n">
        <v>6199</v>
      </c>
      <c r="C1691">
        <f>IF(B1691='🎯 一鍵查詢'!$C$5,COUNTIF($B$2:B1691,'🎯 一鍵查詢'!$C$5),"")</f>
        <v/>
      </c>
    </row>
    <row r="1692">
      <c r="A1692" t="n">
        <v>61992</v>
      </c>
      <c r="B1692" t="n">
        <v>6199</v>
      </c>
      <c r="C1692">
        <f>IF(B1692='🎯 一鍵查詢'!$C$5,COUNTIF($B$2:B1692,'🎯 一鍵查詢'!$C$5),"")</f>
        <v/>
      </c>
    </row>
    <row r="1693">
      <c r="A1693" t="n">
        <v>61993</v>
      </c>
      <c r="B1693" t="n">
        <v>6199</v>
      </c>
      <c r="C1693">
        <f>IF(B1693='🎯 一鍵查詢'!$C$5,COUNTIF($B$2:B1693,'🎯 一鍵查詢'!$C$5),"")</f>
        <v/>
      </c>
    </row>
    <row r="1694">
      <c r="A1694" t="n">
        <v>61994</v>
      </c>
      <c r="B1694" t="n">
        <v>6199</v>
      </c>
      <c r="C1694">
        <f>IF(B1694='🎯 一鍵查詢'!$C$5,COUNTIF($B$2:B1694,'🎯 一鍵查詢'!$C$5),"")</f>
        <v/>
      </c>
    </row>
    <row r="1695">
      <c r="A1695" t="n">
        <v>62031</v>
      </c>
      <c r="B1695" t="n">
        <v>6203</v>
      </c>
      <c r="C1695">
        <f>IF(B1695='🎯 一鍵查詢'!$C$5,COUNTIF($B$2:B1695,'🎯 一鍵查詢'!$C$5),"")</f>
        <v/>
      </c>
    </row>
    <row r="1696">
      <c r="A1696" t="n">
        <v>62051</v>
      </c>
      <c r="B1696" t="n">
        <v>6205</v>
      </c>
      <c r="C1696">
        <f>IF(B1696='🎯 一鍵查詢'!$C$5,COUNTIF($B$2:B1696,'🎯 一鍵查詢'!$C$5),"")</f>
        <v/>
      </c>
    </row>
    <row r="1697">
      <c r="A1697" t="n">
        <v>62052</v>
      </c>
      <c r="B1697" t="n">
        <v>6205</v>
      </c>
      <c r="C1697">
        <f>IF(B1697='🎯 一鍵查詢'!$C$5,COUNTIF($B$2:B1697,'🎯 一鍵查詢'!$C$5),"")</f>
        <v/>
      </c>
    </row>
    <row r="1698">
      <c r="A1698" t="n">
        <v>62053</v>
      </c>
      <c r="B1698" t="n">
        <v>6205</v>
      </c>
      <c r="C1698">
        <f>IF(B1698='🎯 一鍵查詢'!$C$5,COUNTIF($B$2:B1698,'🎯 一鍵查詢'!$C$5),"")</f>
        <v/>
      </c>
    </row>
    <row r="1699">
      <c r="A1699" t="n">
        <v>62061</v>
      </c>
      <c r="B1699" t="n">
        <v>6206</v>
      </c>
      <c r="C1699">
        <f>IF(B1699='🎯 一鍵查詢'!$C$5,COUNTIF($B$2:B1699,'🎯 一鍵查詢'!$C$5),"")</f>
        <v/>
      </c>
    </row>
    <row r="1700">
      <c r="A1700" t="n">
        <v>62062</v>
      </c>
      <c r="B1700" t="n">
        <v>6206</v>
      </c>
      <c r="C1700">
        <f>IF(B1700='🎯 一鍵查詢'!$C$5,COUNTIF($B$2:B1700,'🎯 一鍵查詢'!$C$5),"")</f>
        <v/>
      </c>
    </row>
    <row r="1701">
      <c r="A1701" t="n">
        <v>62071</v>
      </c>
      <c r="B1701" t="n">
        <v>6207</v>
      </c>
      <c r="C1701">
        <f>IF(B1701='🎯 一鍵查詢'!$C$5,COUNTIF($B$2:B1701,'🎯 一鍵查詢'!$C$5),"")</f>
        <v/>
      </c>
    </row>
    <row r="1702">
      <c r="A1702" t="n">
        <v>62072</v>
      </c>
      <c r="B1702" t="n">
        <v>6207</v>
      </c>
      <c r="C1702">
        <f>IF(B1702='🎯 一鍵查詢'!$C$5,COUNTIF($B$2:B1702,'🎯 一鍵查詢'!$C$5),"")</f>
        <v/>
      </c>
    </row>
    <row r="1703">
      <c r="A1703" t="n">
        <v>62073</v>
      </c>
      <c r="B1703" t="n">
        <v>6207</v>
      </c>
      <c r="C1703">
        <f>IF(B1703='🎯 一鍵查詢'!$C$5,COUNTIF($B$2:B1703,'🎯 一鍵查詢'!$C$5),"")</f>
        <v/>
      </c>
    </row>
    <row r="1704">
      <c r="A1704" t="n">
        <v>62074</v>
      </c>
      <c r="B1704" t="n">
        <v>6207</v>
      </c>
      <c r="C1704">
        <f>IF(B1704='🎯 一鍵查詢'!$C$5,COUNTIF($B$2:B1704,'🎯 一鍵查詢'!$C$5),"")</f>
        <v/>
      </c>
    </row>
    <row r="1705">
      <c r="A1705" t="n">
        <v>62075</v>
      </c>
      <c r="B1705" t="n">
        <v>6207</v>
      </c>
      <c r="C1705">
        <f>IF(B1705='🎯 一鍵查詢'!$C$5,COUNTIF($B$2:B1705,'🎯 一鍵查詢'!$C$5),"")</f>
        <v/>
      </c>
    </row>
    <row r="1706">
      <c r="A1706" t="n">
        <v>62076</v>
      </c>
      <c r="B1706" t="n">
        <v>6207</v>
      </c>
      <c r="C1706">
        <f>IF(B1706='🎯 一鍵查詢'!$C$5,COUNTIF($B$2:B1706,'🎯 一鍵查詢'!$C$5),"")</f>
        <v/>
      </c>
    </row>
    <row r="1707">
      <c r="A1707" t="n">
        <v>62081</v>
      </c>
      <c r="B1707" t="n">
        <v>6208</v>
      </c>
      <c r="C1707">
        <f>IF(B1707='🎯 一鍵查詢'!$C$5,COUNTIF($B$2:B1707,'🎯 一鍵查詢'!$C$5),"")</f>
        <v/>
      </c>
    </row>
    <row r="1708">
      <c r="A1708" t="n">
        <v>62082</v>
      </c>
      <c r="B1708" t="n">
        <v>6208</v>
      </c>
      <c r="C1708">
        <f>IF(B1708='🎯 一鍵查詢'!$C$5,COUNTIF($B$2:B1708,'🎯 一鍵查詢'!$C$5),"")</f>
        <v/>
      </c>
    </row>
    <row r="1709">
      <c r="A1709" t="n">
        <v>62083</v>
      </c>
      <c r="B1709" t="n">
        <v>6208</v>
      </c>
      <c r="C1709">
        <f>IF(B1709='🎯 一鍵查詢'!$C$5,COUNTIF($B$2:B1709,'🎯 一鍵查詢'!$C$5),"")</f>
        <v/>
      </c>
    </row>
    <row r="1710">
      <c r="A1710" t="n">
        <v>62091</v>
      </c>
      <c r="B1710" t="n">
        <v>6209</v>
      </c>
      <c r="C1710">
        <f>IF(B1710='🎯 一鍵查詢'!$C$5,COUNTIF($B$2:B1710,'🎯 一鍵查詢'!$C$5),"")</f>
        <v/>
      </c>
    </row>
    <row r="1711">
      <c r="A1711" t="n">
        <v>62092</v>
      </c>
      <c r="B1711" t="n">
        <v>6209</v>
      </c>
      <c r="C1711">
        <f>IF(B1711='🎯 一鍵查詢'!$C$5,COUNTIF($B$2:B1711,'🎯 一鍵查詢'!$C$5),"")</f>
        <v/>
      </c>
    </row>
    <row r="1712">
      <c r="A1712" t="n">
        <v>62093</v>
      </c>
      <c r="B1712" t="n">
        <v>6209</v>
      </c>
      <c r="C1712">
        <f>IF(B1712='🎯 一鍵查詢'!$C$5,COUNTIF($B$2:B1712,'🎯 一鍵查詢'!$C$5),"")</f>
        <v/>
      </c>
    </row>
    <row r="1713">
      <c r="A1713" t="n">
        <v>62131</v>
      </c>
      <c r="B1713" t="n">
        <v>6213</v>
      </c>
      <c r="C1713">
        <f>IF(B1713='🎯 一鍵查詢'!$C$5,COUNTIF($B$2:B1713,'🎯 一鍵查詢'!$C$5),"")</f>
        <v/>
      </c>
    </row>
    <row r="1714">
      <c r="A1714" t="n">
        <v>62132</v>
      </c>
      <c r="B1714" t="n">
        <v>6213</v>
      </c>
      <c r="C1714">
        <f>IF(B1714='🎯 一鍵查詢'!$C$5,COUNTIF($B$2:B1714,'🎯 一鍵查詢'!$C$5),"")</f>
        <v/>
      </c>
    </row>
    <row r="1715">
      <c r="A1715" t="n">
        <v>62133</v>
      </c>
      <c r="B1715" t="n">
        <v>6213</v>
      </c>
      <c r="C1715">
        <f>IF(B1715='🎯 一鍵查詢'!$C$5,COUNTIF($B$2:B1715,'🎯 一鍵查詢'!$C$5),"")</f>
        <v/>
      </c>
    </row>
    <row r="1716">
      <c r="A1716" t="n">
        <v>62134</v>
      </c>
      <c r="B1716" t="n">
        <v>6213</v>
      </c>
      <c r="C1716">
        <f>IF(B1716='🎯 一鍵查詢'!$C$5,COUNTIF($B$2:B1716,'🎯 一鍵查詢'!$C$5),"")</f>
        <v/>
      </c>
    </row>
    <row r="1717">
      <c r="A1717" t="n">
        <v>62135</v>
      </c>
      <c r="B1717" t="n">
        <v>6213</v>
      </c>
      <c r="C1717">
        <f>IF(B1717='🎯 一鍵查詢'!$C$5,COUNTIF($B$2:B1717,'🎯 一鍵查詢'!$C$5),"")</f>
        <v/>
      </c>
    </row>
    <row r="1718">
      <c r="A1718" t="n">
        <v>62151</v>
      </c>
      <c r="B1718" t="n">
        <v>6215</v>
      </c>
      <c r="C1718">
        <f>IF(B1718='🎯 一鍵查詢'!$C$5,COUNTIF($B$2:B1718,'🎯 一鍵查詢'!$C$5),"")</f>
        <v/>
      </c>
    </row>
    <row r="1719">
      <c r="A1719" t="n">
        <v>62152</v>
      </c>
      <c r="B1719" t="n">
        <v>6215</v>
      </c>
      <c r="C1719">
        <f>IF(B1719='🎯 一鍵查詢'!$C$5,COUNTIF($B$2:B1719,'🎯 一鍵查詢'!$C$5),"")</f>
        <v/>
      </c>
    </row>
    <row r="1720">
      <c r="A1720" t="n">
        <v>62161</v>
      </c>
      <c r="B1720" t="n">
        <v>6216</v>
      </c>
      <c r="C1720">
        <f>IF(B1720='🎯 一鍵查詢'!$C$5,COUNTIF($B$2:B1720,'🎯 一鍵查詢'!$C$5),"")</f>
        <v/>
      </c>
    </row>
    <row r="1721">
      <c r="A1721" t="n">
        <v>62171</v>
      </c>
      <c r="B1721" t="n">
        <v>6217</v>
      </c>
      <c r="C1721">
        <f>IF(B1721='🎯 一鍵查詢'!$C$5,COUNTIF($B$2:B1721,'🎯 一鍵查詢'!$C$5),"")</f>
        <v/>
      </c>
    </row>
    <row r="1722">
      <c r="A1722" t="n">
        <v>62172</v>
      </c>
      <c r="B1722" t="n">
        <v>6217</v>
      </c>
      <c r="C1722">
        <f>IF(B1722='🎯 一鍵查詢'!$C$5,COUNTIF($B$2:B1722,'🎯 一鍵查詢'!$C$5),"")</f>
        <v/>
      </c>
    </row>
    <row r="1723">
      <c r="A1723" t="n">
        <v>62173</v>
      </c>
      <c r="B1723" t="n">
        <v>6217</v>
      </c>
      <c r="C1723">
        <f>IF(B1723='🎯 一鍵查詢'!$C$5,COUNTIF($B$2:B1723,'🎯 一鍵查詢'!$C$5),"")</f>
        <v/>
      </c>
    </row>
    <row r="1724">
      <c r="A1724" t="n">
        <v>62174</v>
      </c>
      <c r="B1724" t="n">
        <v>6217</v>
      </c>
      <c r="C1724">
        <f>IF(B1724='🎯 一鍵查詢'!$C$5,COUNTIF($B$2:B1724,'🎯 一鍵查詢'!$C$5),"")</f>
        <v/>
      </c>
    </row>
    <row r="1725">
      <c r="A1725" t="n">
        <v>62191</v>
      </c>
      <c r="B1725" t="n">
        <v>6219</v>
      </c>
      <c r="C1725">
        <f>IF(B1725='🎯 一鍵查詢'!$C$5,COUNTIF($B$2:B1725,'🎯 一鍵查詢'!$C$5),"")</f>
        <v/>
      </c>
    </row>
    <row r="1726">
      <c r="A1726" t="n">
        <v>62192</v>
      </c>
      <c r="B1726" t="n">
        <v>6219</v>
      </c>
      <c r="C1726">
        <f>IF(B1726='🎯 一鍵查詢'!$C$5,COUNTIF($B$2:B1726,'🎯 一鍵查詢'!$C$5),"")</f>
        <v/>
      </c>
    </row>
    <row r="1727">
      <c r="A1727" t="n">
        <v>62193</v>
      </c>
      <c r="B1727" t="n">
        <v>6219</v>
      </c>
      <c r="C1727">
        <f>IF(B1727='🎯 一鍵查詢'!$C$5,COUNTIF($B$2:B1727,'🎯 一鍵查詢'!$C$5),"")</f>
        <v/>
      </c>
    </row>
    <row r="1728">
      <c r="A1728" t="n">
        <v>62194</v>
      </c>
      <c r="B1728" t="n">
        <v>6219</v>
      </c>
      <c r="C1728">
        <f>IF(B1728='🎯 一鍵查詢'!$C$5,COUNTIF($B$2:B1728,'🎯 一鍵查詢'!$C$5),"")</f>
        <v/>
      </c>
    </row>
    <row r="1729">
      <c r="A1729" t="n">
        <v>62201</v>
      </c>
      <c r="B1729" t="n">
        <v>6220</v>
      </c>
      <c r="C1729">
        <f>IF(B1729='🎯 一鍵查詢'!$C$5,COUNTIF($B$2:B1729,'🎯 一鍵查詢'!$C$5),"")</f>
        <v/>
      </c>
    </row>
    <row r="1730">
      <c r="A1730" t="n">
        <v>62202</v>
      </c>
      <c r="B1730" t="n">
        <v>6220</v>
      </c>
      <c r="C1730">
        <f>IF(B1730='🎯 一鍵查詢'!$C$5,COUNTIF($B$2:B1730,'🎯 一鍵查詢'!$C$5),"")</f>
        <v/>
      </c>
    </row>
    <row r="1731">
      <c r="A1731" t="n">
        <v>62203</v>
      </c>
      <c r="B1731" t="n">
        <v>6220</v>
      </c>
      <c r="C1731">
        <f>IF(B1731='🎯 一鍵查詢'!$C$5,COUNTIF($B$2:B1731,'🎯 一鍵查詢'!$C$5),"")</f>
        <v/>
      </c>
    </row>
    <row r="1732">
      <c r="A1732" t="n">
        <v>62204</v>
      </c>
      <c r="B1732" t="n">
        <v>6220</v>
      </c>
      <c r="C1732">
        <f>IF(B1732='🎯 一鍵查詢'!$C$5,COUNTIF($B$2:B1732,'🎯 一鍵查詢'!$C$5),"")</f>
        <v/>
      </c>
    </row>
    <row r="1733">
      <c r="A1733" t="n">
        <v>62205</v>
      </c>
      <c r="B1733" t="n">
        <v>6220</v>
      </c>
      <c r="C1733">
        <f>IF(B1733='🎯 一鍵查詢'!$C$5,COUNTIF($B$2:B1733,'🎯 一鍵查詢'!$C$5),"")</f>
        <v/>
      </c>
    </row>
    <row r="1734">
      <c r="A1734" t="n">
        <v>62206</v>
      </c>
      <c r="B1734" t="n">
        <v>6220</v>
      </c>
      <c r="C1734">
        <f>IF(B1734='🎯 一鍵查詢'!$C$5,COUNTIF($B$2:B1734,'🎯 一鍵查詢'!$C$5),"")</f>
        <v/>
      </c>
    </row>
    <row r="1735">
      <c r="A1735" t="n">
        <v>62207</v>
      </c>
      <c r="B1735" t="n">
        <v>6220</v>
      </c>
      <c r="C1735">
        <f>IF(B1735='🎯 一鍵查詢'!$C$5,COUNTIF($B$2:B1735,'🎯 一鍵查詢'!$C$5),"")</f>
        <v/>
      </c>
    </row>
    <row r="1736">
      <c r="A1736" t="n">
        <v>62208</v>
      </c>
      <c r="B1736" t="n">
        <v>6220</v>
      </c>
      <c r="C1736">
        <f>IF(B1736='🎯 一鍵查詢'!$C$5,COUNTIF($B$2:B1736,'🎯 一鍵查詢'!$C$5),"")</f>
        <v/>
      </c>
    </row>
    <row r="1737">
      <c r="A1737" t="n">
        <v>62209</v>
      </c>
      <c r="B1737" t="n">
        <v>6220</v>
      </c>
      <c r="C1737">
        <f>IF(B1737='🎯 一鍵查詢'!$C$5,COUNTIF($B$2:B1737,'🎯 一鍵查詢'!$C$5),"")</f>
        <v/>
      </c>
    </row>
    <row r="1738">
      <c r="A1738" t="n">
        <v>62211</v>
      </c>
      <c r="B1738" t="n">
        <v>6221</v>
      </c>
      <c r="C1738">
        <f>IF(B1738='🎯 一鍵查詢'!$C$5,COUNTIF($B$2:B1738,'🎯 一鍵查詢'!$C$5),"")</f>
        <v/>
      </c>
    </row>
    <row r="1739">
      <c r="A1739" t="n">
        <v>62221</v>
      </c>
      <c r="B1739" t="n">
        <v>6222</v>
      </c>
      <c r="C1739">
        <f>IF(B1739='🎯 一鍵查詢'!$C$5,COUNTIF($B$2:B1739,'🎯 一鍵查詢'!$C$5),"")</f>
        <v/>
      </c>
    </row>
    <row r="1740">
      <c r="A1740" t="n">
        <v>62231</v>
      </c>
      <c r="B1740" t="n">
        <v>6223</v>
      </c>
      <c r="C1740">
        <f>IF(B1740='🎯 一鍵查詢'!$C$5,COUNTIF($B$2:B1740,'🎯 一鍵查詢'!$C$5),"")</f>
        <v/>
      </c>
    </row>
    <row r="1741">
      <c r="A1741" t="n">
        <v>62232</v>
      </c>
      <c r="B1741" t="n">
        <v>6223</v>
      </c>
      <c r="C1741">
        <f>IF(B1741='🎯 一鍵查詢'!$C$5,COUNTIF($B$2:B1741,'🎯 一鍵查詢'!$C$5),"")</f>
        <v/>
      </c>
    </row>
    <row r="1742">
      <c r="A1742" t="n">
        <v>62233</v>
      </c>
      <c r="B1742" t="n">
        <v>6223</v>
      </c>
      <c r="C1742">
        <f>IF(B1742='🎯 一鍵查詢'!$C$5,COUNTIF($B$2:B1742,'🎯 一鍵查詢'!$C$5),"")</f>
        <v/>
      </c>
    </row>
    <row r="1743">
      <c r="A1743" t="n">
        <v>62234</v>
      </c>
      <c r="B1743" t="n">
        <v>6223</v>
      </c>
      <c r="C1743">
        <f>IF(B1743='🎯 一鍵查詢'!$C$5,COUNTIF($B$2:B1743,'🎯 一鍵查詢'!$C$5),"")</f>
        <v/>
      </c>
    </row>
    <row r="1744">
      <c r="A1744" t="n">
        <v>62235</v>
      </c>
      <c r="B1744" t="n">
        <v>6223</v>
      </c>
      <c r="C1744">
        <f>IF(B1744='🎯 一鍵查詢'!$C$5,COUNTIF($B$2:B1744,'🎯 一鍵查詢'!$C$5),"")</f>
        <v/>
      </c>
    </row>
    <row r="1745">
      <c r="A1745" t="n">
        <v>62241</v>
      </c>
      <c r="B1745" t="n">
        <v>6224</v>
      </c>
      <c r="C1745">
        <f>IF(B1745='🎯 一鍵查詢'!$C$5,COUNTIF($B$2:B1745,'🎯 一鍵查詢'!$C$5),"")</f>
        <v/>
      </c>
    </row>
    <row r="1746">
      <c r="A1746" t="n">
        <v>62251</v>
      </c>
      <c r="B1746" t="n">
        <v>6225</v>
      </c>
      <c r="C1746">
        <f>IF(B1746='🎯 一鍵查詢'!$C$5,COUNTIF($B$2:B1746,'🎯 一鍵查詢'!$C$5),"")</f>
        <v/>
      </c>
    </row>
    <row r="1747">
      <c r="A1747" t="n">
        <v>62261</v>
      </c>
      <c r="B1747" t="n">
        <v>6226</v>
      </c>
      <c r="C1747">
        <f>IF(B1747='🎯 一鍵查詢'!$C$5,COUNTIF($B$2:B1747,'🎯 一鍵查詢'!$C$5),"")</f>
        <v/>
      </c>
    </row>
    <row r="1748">
      <c r="A1748" t="n">
        <v>62262</v>
      </c>
      <c r="B1748" t="n">
        <v>6226</v>
      </c>
      <c r="C1748">
        <f>IF(B1748='🎯 一鍵查詢'!$C$5,COUNTIF($B$2:B1748,'🎯 一鍵查詢'!$C$5),"")</f>
        <v/>
      </c>
    </row>
    <row r="1749">
      <c r="A1749" t="n">
        <v>62263</v>
      </c>
      <c r="B1749" t="n">
        <v>6226</v>
      </c>
      <c r="C1749">
        <f>IF(B1749='🎯 一鍵查詢'!$C$5,COUNTIF($B$2:B1749,'🎯 一鍵查詢'!$C$5),"")</f>
        <v/>
      </c>
    </row>
    <row r="1750">
      <c r="A1750" t="n">
        <v>62264</v>
      </c>
      <c r="B1750" t="n">
        <v>6226</v>
      </c>
      <c r="C1750">
        <f>IF(B1750='🎯 一鍵查詢'!$C$5,COUNTIF($B$2:B1750,'🎯 一鍵查詢'!$C$5),"")</f>
        <v/>
      </c>
    </row>
    <row r="1751">
      <c r="A1751" t="n">
        <v>62271</v>
      </c>
      <c r="B1751" t="n">
        <v>6227</v>
      </c>
      <c r="C1751">
        <f>IF(B1751='🎯 一鍵查詢'!$C$5,COUNTIF($B$2:B1751,'🎯 一鍵查詢'!$C$5),"")</f>
        <v/>
      </c>
    </row>
    <row r="1752">
      <c r="A1752" t="n">
        <v>62281</v>
      </c>
      <c r="B1752" t="n">
        <v>6228</v>
      </c>
      <c r="C1752">
        <f>IF(B1752='🎯 一鍵查詢'!$C$5,COUNTIF($B$2:B1752,'🎯 一鍵查詢'!$C$5),"")</f>
        <v/>
      </c>
    </row>
    <row r="1753">
      <c r="A1753" t="n">
        <v>62301</v>
      </c>
      <c r="B1753" t="n">
        <v>6230</v>
      </c>
      <c r="C1753">
        <f>IF(B1753='🎯 一鍵查詢'!$C$5,COUNTIF($B$2:B1753,'🎯 一鍵查詢'!$C$5),"")</f>
        <v/>
      </c>
    </row>
    <row r="1754">
      <c r="A1754" t="n">
        <v>62321</v>
      </c>
      <c r="B1754" t="n">
        <v>6232</v>
      </c>
      <c r="C1754">
        <f>IF(B1754='🎯 一鍵查詢'!$C$5,COUNTIF($B$2:B1754,'🎯 一鍵查詢'!$C$5),"")</f>
        <v/>
      </c>
    </row>
    <row r="1755">
      <c r="A1755" t="n">
        <v>62331</v>
      </c>
      <c r="B1755" t="n">
        <v>6233</v>
      </c>
      <c r="C1755">
        <f>IF(B1755='🎯 一鍵查詢'!$C$5,COUNTIF($B$2:B1755,'🎯 一鍵查詢'!$C$5),"")</f>
        <v/>
      </c>
    </row>
    <row r="1756">
      <c r="A1756" t="n">
        <v>62332</v>
      </c>
      <c r="B1756" t="n">
        <v>6233</v>
      </c>
      <c r="C1756">
        <f>IF(B1756='🎯 一鍵查詢'!$C$5,COUNTIF($B$2:B1756,'🎯 一鍵查詢'!$C$5),"")</f>
        <v/>
      </c>
    </row>
    <row r="1757">
      <c r="A1757" t="n">
        <v>62341</v>
      </c>
      <c r="B1757" t="n">
        <v>6234</v>
      </c>
      <c r="C1757">
        <f>IF(B1757='🎯 一鍵查詢'!$C$5,COUNTIF($B$2:B1757,'🎯 一鍵查詢'!$C$5),"")</f>
        <v/>
      </c>
    </row>
    <row r="1758">
      <c r="A1758" t="n">
        <v>62342</v>
      </c>
      <c r="B1758" t="n">
        <v>6234</v>
      </c>
      <c r="C1758">
        <f>IF(B1758='🎯 一鍵查詢'!$C$5,COUNTIF($B$2:B1758,'🎯 一鍵查詢'!$C$5),"")</f>
        <v/>
      </c>
    </row>
    <row r="1759">
      <c r="A1759" t="n">
        <v>62371</v>
      </c>
      <c r="B1759" t="n">
        <v>6237</v>
      </c>
      <c r="C1759">
        <f>IF(B1759='🎯 一鍵查詢'!$C$5,COUNTIF($B$2:B1759,'🎯 一鍵查詢'!$C$5),"")</f>
        <v/>
      </c>
    </row>
    <row r="1760">
      <c r="A1760" t="n">
        <v>62381</v>
      </c>
      <c r="B1760" t="n">
        <v>6238</v>
      </c>
      <c r="C1760">
        <f>IF(B1760='🎯 一鍵查詢'!$C$5,COUNTIF($B$2:B1760,'🎯 一鍵查詢'!$C$5),"")</f>
        <v/>
      </c>
    </row>
    <row r="1761">
      <c r="A1761" t="n">
        <v>62382</v>
      </c>
      <c r="B1761" t="n">
        <v>6238</v>
      </c>
      <c r="C1761">
        <f>IF(B1761='🎯 一鍵查詢'!$C$5,COUNTIF($B$2:B1761,'🎯 一鍵查詢'!$C$5),"")</f>
        <v/>
      </c>
    </row>
    <row r="1762">
      <c r="A1762" t="n">
        <v>62383</v>
      </c>
      <c r="B1762" t="n">
        <v>6238</v>
      </c>
      <c r="C1762">
        <f>IF(B1762='🎯 一鍵查詢'!$C$5,COUNTIF($B$2:B1762,'🎯 一鍵查詢'!$C$5),"")</f>
        <v/>
      </c>
    </row>
    <row r="1763">
      <c r="A1763" t="n">
        <v>62384</v>
      </c>
      <c r="B1763" t="n">
        <v>6238</v>
      </c>
      <c r="C1763">
        <f>IF(B1763='🎯 一鍵查詢'!$C$5,COUNTIF($B$2:B1763,'🎯 一鍵查詢'!$C$5),"")</f>
        <v/>
      </c>
    </row>
    <row r="1764">
      <c r="A1764" t="n">
        <v>62421</v>
      </c>
      <c r="B1764" t="n">
        <v>6242</v>
      </c>
      <c r="C1764">
        <f>IF(B1764='🎯 一鍵查詢'!$C$5,COUNTIF($B$2:B1764,'🎯 一鍵查詢'!$C$5),"")</f>
        <v/>
      </c>
    </row>
    <row r="1765">
      <c r="A1765" t="n">
        <v>62431</v>
      </c>
      <c r="B1765" t="n">
        <v>6243</v>
      </c>
      <c r="C1765">
        <f>IF(B1765='🎯 一鍵查詢'!$C$5,COUNTIF($B$2:B1765,'🎯 一鍵查詢'!$C$5),"")</f>
        <v/>
      </c>
    </row>
    <row r="1766">
      <c r="A1766" t="n">
        <v>62432</v>
      </c>
      <c r="B1766" t="n">
        <v>6243</v>
      </c>
      <c r="C1766">
        <f>IF(B1766='🎯 一鍵查詢'!$C$5,COUNTIF($B$2:B1766,'🎯 一鍵查詢'!$C$5),"")</f>
        <v/>
      </c>
    </row>
    <row r="1767">
      <c r="A1767" t="n">
        <v>62433</v>
      </c>
      <c r="B1767" t="n">
        <v>6243</v>
      </c>
      <c r="C1767">
        <f>IF(B1767='🎯 一鍵查詢'!$C$5,COUNTIF($B$2:B1767,'🎯 一鍵查詢'!$C$5),"")</f>
        <v/>
      </c>
    </row>
    <row r="1768">
      <c r="A1768" t="n">
        <v>62441</v>
      </c>
      <c r="B1768" t="n">
        <v>6244</v>
      </c>
      <c r="C1768">
        <f>IF(B1768='🎯 一鍵查詢'!$C$5,COUNTIF($B$2:B1768,'🎯 一鍵查詢'!$C$5),"")</f>
        <v/>
      </c>
    </row>
    <row r="1769">
      <c r="A1769" t="n">
        <v>62451</v>
      </c>
      <c r="B1769" t="n">
        <v>6245</v>
      </c>
      <c r="C1769">
        <f>IF(B1769='🎯 一鍵查詢'!$C$5,COUNTIF($B$2:B1769,'🎯 一鍵查詢'!$C$5),"")</f>
        <v/>
      </c>
    </row>
    <row r="1770">
      <c r="A1770" t="n">
        <v>62452</v>
      </c>
      <c r="B1770" t="n">
        <v>6245</v>
      </c>
      <c r="C1770">
        <f>IF(B1770='🎯 一鍵查詢'!$C$5,COUNTIF($B$2:B1770,'🎯 一鍵查詢'!$C$5),"")</f>
        <v/>
      </c>
    </row>
    <row r="1771">
      <c r="A1771" t="n">
        <v>62481</v>
      </c>
      <c r="B1771" t="n">
        <v>6248</v>
      </c>
      <c r="C1771">
        <f>IF(B1771='🎯 一鍵查詢'!$C$5,COUNTIF($B$2:B1771,'🎯 一鍵查詢'!$C$5),"")</f>
        <v/>
      </c>
    </row>
    <row r="1772">
      <c r="A1772" t="n">
        <v>62482</v>
      </c>
      <c r="B1772" t="n">
        <v>6248</v>
      </c>
      <c r="C1772">
        <f>IF(B1772='🎯 一鍵查詢'!$C$5,COUNTIF($B$2:B1772,'🎯 一鍵查詢'!$C$5),"")</f>
        <v/>
      </c>
    </row>
    <row r="1773">
      <c r="A1773" t="n">
        <v>62483</v>
      </c>
      <c r="B1773" t="n">
        <v>6248</v>
      </c>
      <c r="C1773">
        <f>IF(B1773='🎯 一鍵查詢'!$C$5,COUNTIF($B$2:B1773,'🎯 一鍵查詢'!$C$5),"")</f>
        <v/>
      </c>
    </row>
    <row r="1774">
      <c r="A1774" t="n">
        <v>62484</v>
      </c>
      <c r="B1774" t="n">
        <v>6248</v>
      </c>
      <c r="C1774">
        <f>IF(B1774='🎯 一鍵查詢'!$C$5,COUNTIF($B$2:B1774,'🎯 一鍵查詢'!$C$5),"")</f>
        <v/>
      </c>
    </row>
    <row r="1775">
      <c r="A1775" t="n">
        <v>62511</v>
      </c>
      <c r="B1775" t="n">
        <v>6251</v>
      </c>
      <c r="C1775">
        <f>IF(B1775='🎯 一鍵查詢'!$C$5,COUNTIF($B$2:B1775,'🎯 一鍵查詢'!$C$5),"")</f>
        <v/>
      </c>
    </row>
    <row r="1776">
      <c r="A1776" t="n">
        <v>62512</v>
      </c>
      <c r="B1776" t="n">
        <v>6251</v>
      </c>
      <c r="C1776">
        <f>IF(B1776='🎯 一鍵查詢'!$C$5,COUNTIF($B$2:B1776,'🎯 一鍵查詢'!$C$5),"")</f>
        <v/>
      </c>
    </row>
    <row r="1777">
      <c r="A1777" t="n">
        <v>62551</v>
      </c>
      <c r="B1777" t="n">
        <v>6255</v>
      </c>
      <c r="C1777">
        <f>IF(B1777='🎯 一鍵查詢'!$C$5,COUNTIF($B$2:B1777,'🎯 一鍵查詢'!$C$5),"")</f>
        <v/>
      </c>
    </row>
    <row r="1778">
      <c r="A1778" t="n">
        <v>62571</v>
      </c>
      <c r="B1778" t="n">
        <v>6257</v>
      </c>
      <c r="C1778">
        <f>IF(B1778='🎯 一鍵查詢'!$C$5,COUNTIF($B$2:B1778,'🎯 一鍵查詢'!$C$5),"")</f>
        <v/>
      </c>
    </row>
    <row r="1779">
      <c r="A1779" t="n">
        <v>62572</v>
      </c>
      <c r="B1779" t="n">
        <v>6257</v>
      </c>
      <c r="C1779">
        <f>IF(B1779='🎯 一鍵查詢'!$C$5,COUNTIF($B$2:B1779,'🎯 一鍵查詢'!$C$5),"")</f>
        <v/>
      </c>
    </row>
    <row r="1780">
      <c r="A1780" t="n">
        <v>62573</v>
      </c>
      <c r="B1780" t="n">
        <v>6257</v>
      </c>
      <c r="C1780">
        <f>IF(B1780='🎯 一鍵查詢'!$C$5,COUNTIF($B$2:B1780,'🎯 一鍵查詢'!$C$5),"")</f>
        <v/>
      </c>
    </row>
    <row r="1781">
      <c r="A1781" t="n">
        <v>62574</v>
      </c>
      <c r="B1781" t="n">
        <v>6257</v>
      </c>
      <c r="C1781">
        <f>IF(B1781='🎯 一鍵查詢'!$C$5,COUNTIF($B$2:B1781,'🎯 一鍵查詢'!$C$5),"")</f>
        <v/>
      </c>
    </row>
    <row r="1782">
      <c r="A1782" t="n">
        <v>62591</v>
      </c>
      <c r="B1782" t="n">
        <v>6259</v>
      </c>
      <c r="C1782">
        <f>IF(B1782='🎯 一鍵查詢'!$C$5,COUNTIF($B$2:B1782,'🎯 一鍵查詢'!$C$5),"")</f>
        <v/>
      </c>
    </row>
    <row r="1783">
      <c r="A1783" t="n">
        <v>62592</v>
      </c>
      <c r="B1783" t="n">
        <v>6259</v>
      </c>
      <c r="C1783">
        <f>IF(B1783='🎯 一鍵查詢'!$C$5,COUNTIF($B$2:B1783,'🎯 一鍵查詢'!$C$5),"")</f>
        <v/>
      </c>
    </row>
    <row r="1784">
      <c r="A1784" t="n">
        <v>62611</v>
      </c>
      <c r="B1784" t="n">
        <v>6261</v>
      </c>
      <c r="C1784">
        <f>IF(B1784='🎯 一鍵查詢'!$C$5,COUNTIF($B$2:B1784,'🎯 一鍵查詢'!$C$5),"")</f>
        <v/>
      </c>
    </row>
    <row r="1785">
      <c r="A1785" t="n">
        <v>62612</v>
      </c>
      <c r="B1785" t="n">
        <v>6261</v>
      </c>
      <c r="C1785">
        <f>IF(B1785='🎯 一鍵查詢'!$C$5,COUNTIF($B$2:B1785,'🎯 一鍵查詢'!$C$5),"")</f>
        <v/>
      </c>
    </row>
    <row r="1786">
      <c r="A1786" t="n">
        <v>62613</v>
      </c>
      <c r="B1786" t="n">
        <v>6261</v>
      </c>
      <c r="C1786">
        <f>IF(B1786='🎯 一鍵查詢'!$C$5,COUNTIF($B$2:B1786,'🎯 一鍵查詢'!$C$5),"")</f>
        <v/>
      </c>
    </row>
    <row r="1787">
      <c r="A1787" t="n">
        <v>62641</v>
      </c>
      <c r="B1787" t="n">
        <v>6264</v>
      </c>
      <c r="C1787">
        <f>IF(B1787='🎯 一鍵查詢'!$C$5,COUNTIF($B$2:B1787,'🎯 一鍵查詢'!$C$5),"")</f>
        <v/>
      </c>
    </row>
    <row r="1788">
      <c r="A1788" t="n">
        <v>62651</v>
      </c>
      <c r="B1788" t="n">
        <v>6265</v>
      </c>
      <c r="C1788">
        <f>IF(B1788='🎯 一鍵查詢'!$C$5,COUNTIF($B$2:B1788,'🎯 一鍵查詢'!$C$5),"")</f>
        <v/>
      </c>
    </row>
    <row r="1789">
      <c r="A1789" t="n">
        <v>62652</v>
      </c>
      <c r="B1789" t="n">
        <v>6265</v>
      </c>
      <c r="C1789">
        <f>IF(B1789='🎯 一鍵查詢'!$C$5,COUNTIF($B$2:B1789,'🎯 一鍵查詢'!$C$5),"")</f>
        <v/>
      </c>
    </row>
    <row r="1790">
      <c r="A1790" t="n">
        <v>62661</v>
      </c>
      <c r="B1790" t="n">
        <v>6266</v>
      </c>
      <c r="C1790">
        <f>IF(B1790='🎯 一鍵查詢'!$C$5,COUNTIF($B$2:B1790,'🎯 一鍵查詢'!$C$5),"")</f>
        <v/>
      </c>
    </row>
    <row r="1791">
      <c r="A1791" t="n">
        <v>62662</v>
      </c>
      <c r="B1791" t="n">
        <v>6266</v>
      </c>
      <c r="C1791">
        <f>IF(B1791='🎯 一鍵查詢'!$C$5,COUNTIF($B$2:B1791,'🎯 一鍵查詢'!$C$5),"")</f>
        <v/>
      </c>
    </row>
    <row r="1792">
      <c r="A1792" t="n">
        <v>62691</v>
      </c>
      <c r="B1792" t="n">
        <v>6269</v>
      </c>
      <c r="C1792">
        <f>IF(B1792='🎯 一鍵查詢'!$C$5,COUNTIF($B$2:B1792,'🎯 一鍵查詢'!$C$5),"")</f>
        <v/>
      </c>
    </row>
    <row r="1793">
      <c r="A1793" t="n">
        <v>62692</v>
      </c>
      <c r="B1793" t="n">
        <v>6269</v>
      </c>
      <c r="C1793">
        <f>IF(B1793='🎯 一鍵查詢'!$C$5,COUNTIF($B$2:B1793,'🎯 一鍵查詢'!$C$5),"")</f>
        <v/>
      </c>
    </row>
    <row r="1794">
      <c r="A1794" t="n">
        <v>62693</v>
      </c>
      <c r="B1794" t="n">
        <v>6269</v>
      </c>
      <c r="C1794">
        <f>IF(B1794='🎯 一鍵查詢'!$C$5,COUNTIF($B$2:B1794,'🎯 一鍵查詢'!$C$5),"")</f>
        <v/>
      </c>
    </row>
    <row r="1795">
      <c r="A1795" t="n">
        <v>62694</v>
      </c>
      <c r="B1795" t="n">
        <v>6269</v>
      </c>
      <c r="C1795">
        <f>IF(B1795='🎯 一鍵查詢'!$C$5,COUNTIF($B$2:B1795,'🎯 一鍵查詢'!$C$5),"")</f>
        <v/>
      </c>
    </row>
    <row r="1796">
      <c r="A1796" t="n">
        <v>62695</v>
      </c>
      <c r="B1796" t="n">
        <v>6269</v>
      </c>
      <c r="C1796">
        <f>IF(B1796='🎯 一鍵查詢'!$C$5,COUNTIF($B$2:B1796,'🎯 一鍵查詢'!$C$5),"")</f>
        <v/>
      </c>
    </row>
    <row r="1797">
      <c r="A1797" t="n">
        <v>62696</v>
      </c>
      <c r="B1797" t="n">
        <v>6269</v>
      </c>
      <c r="C1797">
        <f>IF(B1797='🎯 一鍵查詢'!$C$5,COUNTIF($B$2:B1797,'🎯 一鍵查詢'!$C$5),"")</f>
        <v/>
      </c>
    </row>
    <row r="1798">
      <c r="A1798" t="n">
        <v>62701</v>
      </c>
      <c r="B1798" t="n">
        <v>6270</v>
      </c>
      <c r="C1798">
        <f>IF(B1798='🎯 一鍵查詢'!$C$5,COUNTIF($B$2:B1798,'🎯 一鍵查詢'!$C$5),"")</f>
        <v/>
      </c>
    </row>
    <row r="1799">
      <c r="A1799" t="n">
        <v>62711</v>
      </c>
      <c r="B1799" t="n">
        <v>6271</v>
      </c>
      <c r="C1799">
        <f>IF(B1799='🎯 一鍵查詢'!$C$5,COUNTIF($B$2:B1799,'🎯 一鍵查詢'!$C$5),"")</f>
        <v/>
      </c>
    </row>
    <row r="1800">
      <c r="A1800" t="n">
        <v>62741</v>
      </c>
      <c r="B1800" t="n">
        <v>6274</v>
      </c>
      <c r="C1800">
        <f>IF(B1800='🎯 一鍵查詢'!$C$5,COUNTIF($B$2:B1800,'🎯 一鍵查詢'!$C$5),"")</f>
        <v/>
      </c>
    </row>
    <row r="1801">
      <c r="A1801" t="n">
        <v>62742</v>
      </c>
      <c r="B1801" t="n">
        <v>6274</v>
      </c>
      <c r="C1801">
        <f>IF(B1801='🎯 一鍵查詢'!$C$5,COUNTIF($B$2:B1801,'🎯 一鍵查詢'!$C$5),"")</f>
        <v/>
      </c>
    </row>
    <row r="1802">
      <c r="A1802" t="n">
        <v>62743</v>
      </c>
      <c r="B1802" t="n">
        <v>6274</v>
      </c>
      <c r="C1802">
        <f>IF(B1802='🎯 一鍵查詢'!$C$5,COUNTIF($B$2:B1802,'🎯 一鍵查詢'!$C$5),"")</f>
        <v/>
      </c>
    </row>
    <row r="1803">
      <c r="A1803" t="n">
        <v>62744</v>
      </c>
      <c r="B1803" t="n">
        <v>6274</v>
      </c>
      <c r="C1803">
        <f>IF(B1803='🎯 一鍵查詢'!$C$5,COUNTIF($B$2:B1803,'🎯 一鍵查詢'!$C$5),"")</f>
        <v/>
      </c>
    </row>
    <row r="1804">
      <c r="A1804" t="n">
        <v>62745</v>
      </c>
      <c r="B1804" t="n">
        <v>6274</v>
      </c>
      <c r="C1804">
        <f>IF(B1804='🎯 一鍵查詢'!$C$5,COUNTIF($B$2:B1804,'🎯 一鍵查詢'!$C$5),"")</f>
        <v/>
      </c>
    </row>
    <row r="1805">
      <c r="A1805" t="n">
        <v>62751</v>
      </c>
      <c r="B1805" t="n">
        <v>6275</v>
      </c>
      <c r="C1805">
        <f>IF(B1805='🎯 一鍵查詢'!$C$5,COUNTIF($B$2:B1805,'🎯 一鍵查詢'!$C$5),"")</f>
        <v/>
      </c>
    </row>
    <row r="1806">
      <c r="A1806" t="n">
        <v>62752</v>
      </c>
      <c r="B1806" t="n">
        <v>6275</v>
      </c>
      <c r="C1806">
        <f>IF(B1806='🎯 一鍵查詢'!$C$5,COUNTIF($B$2:B1806,'🎯 一鍵查詢'!$C$5),"")</f>
        <v/>
      </c>
    </row>
    <row r="1807">
      <c r="A1807" t="n">
        <v>62753</v>
      </c>
      <c r="B1807" t="n">
        <v>6275</v>
      </c>
      <c r="C1807">
        <f>IF(B1807='🎯 一鍵查詢'!$C$5,COUNTIF($B$2:B1807,'🎯 一鍵查詢'!$C$5),"")</f>
        <v/>
      </c>
    </row>
    <row r="1808">
      <c r="A1808" t="n">
        <v>62754</v>
      </c>
      <c r="B1808" t="n">
        <v>6275</v>
      </c>
      <c r="C1808">
        <f>IF(B1808='🎯 一鍵查詢'!$C$5,COUNTIF($B$2:B1808,'🎯 一鍵查詢'!$C$5),"")</f>
        <v/>
      </c>
    </row>
    <row r="1809">
      <c r="A1809" t="n">
        <v>62755</v>
      </c>
      <c r="B1809" t="n">
        <v>6275</v>
      </c>
      <c r="C1809">
        <f>IF(B1809='🎯 一鍵查詢'!$C$5,COUNTIF($B$2:B1809,'🎯 一鍵查詢'!$C$5),"")</f>
        <v/>
      </c>
    </row>
    <row r="1810">
      <c r="A1810" t="n">
        <v>62756</v>
      </c>
      <c r="B1810" t="n">
        <v>6275</v>
      </c>
      <c r="C1810">
        <f>IF(B1810='🎯 一鍵查詢'!$C$5,COUNTIF($B$2:B1810,'🎯 一鍵查詢'!$C$5),"")</f>
        <v/>
      </c>
    </row>
    <row r="1811">
      <c r="A1811" t="n">
        <v>62761</v>
      </c>
      <c r="B1811" t="n">
        <v>6276</v>
      </c>
      <c r="C1811">
        <f>IF(B1811='🎯 一鍵查詢'!$C$5,COUNTIF($B$2:B1811,'🎯 一鍵查詢'!$C$5),"")</f>
        <v/>
      </c>
    </row>
    <row r="1812">
      <c r="A1812" t="n">
        <v>62791</v>
      </c>
      <c r="B1812" t="n">
        <v>6279</v>
      </c>
      <c r="C1812">
        <f>IF(B1812='🎯 一鍵查詢'!$C$5,COUNTIF($B$2:B1812,'🎯 一鍵查詢'!$C$5),"")</f>
        <v/>
      </c>
    </row>
    <row r="1813">
      <c r="A1813" t="n">
        <v>62821</v>
      </c>
      <c r="B1813" t="n">
        <v>6282</v>
      </c>
      <c r="C1813">
        <f>IF(B1813='🎯 一鍵查詢'!$C$5,COUNTIF($B$2:B1813,'🎯 一鍵查詢'!$C$5),"")</f>
        <v/>
      </c>
    </row>
    <row r="1814">
      <c r="A1814" t="n">
        <v>62822</v>
      </c>
      <c r="B1814" t="n">
        <v>6282</v>
      </c>
      <c r="C1814">
        <f>IF(B1814='🎯 一鍵查詢'!$C$5,COUNTIF($B$2:B1814,'🎯 一鍵查詢'!$C$5),"")</f>
        <v/>
      </c>
    </row>
    <row r="1815">
      <c r="A1815" t="n">
        <v>62831</v>
      </c>
      <c r="B1815" t="n">
        <v>6283</v>
      </c>
      <c r="C1815">
        <f>IF(B1815='🎯 一鍵查詢'!$C$5,COUNTIF($B$2:B1815,'🎯 一鍵查詢'!$C$5),"")</f>
        <v/>
      </c>
    </row>
    <row r="1816">
      <c r="A1816" t="n">
        <v>62832</v>
      </c>
      <c r="B1816" t="n">
        <v>6283</v>
      </c>
      <c r="C1816">
        <f>IF(B1816='🎯 一鍵查詢'!$C$5,COUNTIF($B$2:B1816,'🎯 一鍵查詢'!$C$5),"")</f>
        <v/>
      </c>
    </row>
    <row r="1817">
      <c r="A1817" t="n">
        <v>62841</v>
      </c>
      <c r="B1817" t="n">
        <v>6284</v>
      </c>
      <c r="C1817">
        <f>IF(B1817='🎯 一鍵查詢'!$C$5,COUNTIF($B$2:B1817,'🎯 一鍵查詢'!$C$5),"")</f>
        <v/>
      </c>
    </row>
    <row r="1818">
      <c r="A1818" t="n">
        <v>62842</v>
      </c>
      <c r="B1818" t="n">
        <v>6284</v>
      </c>
      <c r="C1818">
        <f>IF(B1818='🎯 一鍵查詢'!$C$5,COUNTIF($B$2:B1818,'🎯 一鍵查詢'!$C$5),"")</f>
        <v/>
      </c>
    </row>
    <row r="1819">
      <c r="A1819" t="n">
        <v>62843</v>
      </c>
      <c r="B1819" t="n">
        <v>6284</v>
      </c>
      <c r="C1819">
        <f>IF(B1819='🎯 一鍵查詢'!$C$5,COUNTIF($B$2:B1819,'🎯 一鍵查詢'!$C$5),"")</f>
        <v/>
      </c>
    </row>
    <row r="1820">
      <c r="A1820" t="n">
        <v>62851</v>
      </c>
      <c r="B1820" t="n">
        <v>6285</v>
      </c>
      <c r="C1820">
        <f>IF(B1820='🎯 一鍵查詢'!$C$5,COUNTIF($B$2:B1820,'🎯 一鍵查詢'!$C$5),"")</f>
        <v/>
      </c>
    </row>
    <row r="1821">
      <c r="A1821" t="n">
        <v>62852</v>
      </c>
      <c r="B1821" t="n">
        <v>6285</v>
      </c>
      <c r="C1821">
        <f>IF(B1821='🎯 一鍵查詢'!$C$5,COUNTIF($B$2:B1821,'🎯 一鍵查詢'!$C$5),"")</f>
        <v/>
      </c>
    </row>
    <row r="1822">
      <c r="A1822" t="n">
        <v>62853</v>
      </c>
      <c r="B1822" t="n">
        <v>6285</v>
      </c>
      <c r="C1822">
        <f>IF(B1822='🎯 一鍵查詢'!$C$5,COUNTIF($B$2:B1822,'🎯 一鍵查詢'!$C$5),"")</f>
        <v/>
      </c>
    </row>
    <row r="1823">
      <c r="A1823" t="n">
        <v>62871</v>
      </c>
      <c r="B1823" t="n">
        <v>6287</v>
      </c>
      <c r="C1823">
        <f>IF(B1823='🎯 一鍵查詢'!$C$5,COUNTIF($B$2:B1823,'🎯 一鍵查詢'!$C$5),"")</f>
        <v/>
      </c>
    </row>
    <row r="1824">
      <c r="A1824" t="n">
        <v>62872</v>
      </c>
      <c r="B1824" t="n">
        <v>6287</v>
      </c>
      <c r="C1824">
        <f>IF(B1824='🎯 一鍵查詢'!$C$5,COUNTIF($B$2:B1824,'🎯 一鍵查詢'!$C$5),"")</f>
        <v/>
      </c>
    </row>
    <row r="1825">
      <c r="A1825" t="n">
        <v>62873</v>
      </c>
      <c r="B1825" t="n">
        <v>6287</v>
      </c>
      <c r="C1825">
        <f>IF(B1825='🎯 一鍵查詢'!$C$5,COUNTIF($B$2:B1825,'🎯 一鍵查詢'!$C$5),"")</f>
        <v/>
      </c>
    </row>
    <row r="1826">
      <c r="A1826" t="n">
        <v>62874</v>
      </c>
      <c r="B1826" t="n">
        <v>6287</v>
      </c>
      <c r="C1826">
        <f>IF(B1826='🎯 一鍵查詢'!$C$5,COUNTIF($B$2:B1826,'🎯 一鍵查詢'!$C$5),"")</f>
        <v/>
      </c>
    </row>
    <row r="1827">
      <c r="A1827" t="n">
        <v>62875</v>
      </c>
      <c r="B1827" t="n">
        <v>6287</v>
      </c>
      <c r="C1827">
        <f>IF(B1827='🎯 一鍵查詢'!$C$5,COUNTIF($B$2:B1827,'🎯 一鍵查詢'!$C$5),"")</f>
        <v/>
      </c>
    </row>
    <row r="1828">
      <c r="A1828" t="n">
        <v>62881</v>
      </c>
      <c r="B1828" t="n">
        <v>6288</v>
      </c>
      <c r="C1828">
        <f>IF(B1828='🎯 一鍵查詢'!$C$5,COUNTIF($B$2:B1828,'🎯 一鍵查詢'!$C$5),"")</f>
        <v/>
      </c>
    </row>
    <row r="1829">
      <c r="A1829" t="n">
        <v>62882</v>
      </c>
      <c r="B1829" t="n">
        <v>6288</v>
      </c>
      <c r="C1829">
        <f>IF(B1829='🎯 一鍵查詢'!$C$5,COUNTIF($B$2:B1829,'🎯 一鍵查詢'!$C$5),"")</f>
        <v/>
      </c>
    </row>
    <row r="1830">
      <c r="A1830" t="n">
        <v>62883</v>
      </c>
      <c r="B1830" t="n">
        <v>6288</v>
      </c>
      <c r="C1830">
        <f>IF(B1830='🎯 一鍵查詢'!$C$5,COUNTIF($B$2:B1830,'🎯 一鍵查詢'!$C$5),"")</f>
        <v/>
      </c>
    </row>
    <row r="1831">
      <c r="A1831" t="n">
        <v>62884</v>
      </c>
      <c r="B1831" t="n">
        <v>6288</v>
      </c>
      <c r="C1831">
        <f>IF(B1831='🎯 一鍵查詢'!$C$5,COUNTIF($B$2:B1831,'🎯 一鍵查詢'!$C$5),"")</f>
        <v/>
      </c>
    </row>
    <row r="1832">
      <c r="A1832" t="n">
        <v>62891</v>
      </c>
      <c r="B1832" t="n">
        <v>6289</v>
      </c>
      <c r="C1832">
        <f>IF(B1832='🎯 一鍵查詢'!$C$5,COUNTIF($B$2:B1832,'🎯 一鍵查詢'!$C$5),"")</f>
        <v/>
      </c>
    </row>
    <row r="1833">
      <c r="A1833" t="n">
        <v>62892</v>
      </c>
      <c r="B1833" t="n">
        <v>6289</v>
      </c>
      <c r="C1833">
        <f>IF(B1833='🎯 一鍵查詢'!$C$5,COUNTIF($B$2:B1833,'🎯 一鍵查詢'!$C$5),"")</f>
        <v/>
      </c>
    </row>
    <row r="1834">
      <c r="A1834" t="n">
        <v>62901</v>
      </c>
      <c r="B1834" t="n">
        <v>6290</v>
      </c>
      <c r="C1834">
        <f>IF(B1834='🎯 一鍵查詢'!$C$5,COUNTIF($B$2:B1834,'🎯 一鍵查詢'!$C$5),"")</f>
        <v/>
      </c>
    </row>
    <row r="1835">
      <c r="A1835" t="n">
        <v>62902</v>
      </c>
      <c r="B1835" t="n">
        <v>6290</v>
      </c>
      <c r="C1835">
        <f>IF(B1835='🎯 一鍵查詢'!$C$5,COUNTIF($B$2:B1835,'🎯 一鍵查詢'!$C$5),"")</f>
        <v/>
      </c>
    </row>
    <row r="1836">
      <c r="A1836" t="n">
        <v>62903</v>
      </c>
      <c r="B1836" t="n">
        <v>6290</v>
      </c>
      <c r="C1836">
        <f>IF(B1836='🎯 一鍵查詢'!$C$5,COUNTIF($B$2:B1836,'🎯 一鍵查詢'!$C$5),"")</f>
        <v/>
      </c>
    </row>
    <row r="1837">
      <c r="A1837" t="n">
        <v>62904</v>
      </c>
      <c r="B1837" t="n">
        <v>6290</v>
      </c>
      <c r="C1837">
        <f>IF(B1837='🎯 一鍵查詢'!$C$5,COUNTIF($B$2:B1837,'🎯 一鍵查詢'!$C$5),"")</f>
        <v/>
      </c>
    </row>
    <row r="1838">
      <c r="A1838" t="n">
        <v>62905</v>
      </c>
      <c r="B1838" t="n">
        <v>6290</v>
      </c>
      <c r="C1838">
        <f>IF(B1838='🎯 一鍵查詢'!$C$5,COUNTIF($B$2:B1838,'🎯 一鍵查詢'!$C$5),"")</f>
        <v/>
      </c>
    </row>
    <row r="1839">
      <c r="A1839" t="n">
        <v>62906</v>
      </c>
      <c r="B1839" t="n">
        <v>6290</v>
      </c>
      <c r="C1839">
        <f>IF(B1839='🎯 一鍵查詢'!$C$5,COUNTIF($B$2:B1839,'🎯 一鍵查詢'!$C$5),"")</f>
        <v/>
      </c>
    </row>
    <row r="1840">
      <c r="A1840" t="n">
        <v>62907</v>
      </c>
      <c r="B1840" t="n">
        <v>6290</v>
      </c>
      <c r="C1840">
        <f>IF(B1840='🎯 一鍵查詢'!$C$5,COUNTIF($B$2:B1840,'🎯 一鍵查詢'!$C$5),"")</f>
        <v/>
      </c>
    </row>
    <row r="1841">
      <c r="A1841" t="n">
        <v>62908</v>
      </c>
      <c r="B1841" t="n">
        <v>6290</v>
      </c>
      <c r="C1841">
        <f>IF(B1841='🎯 一鍵查詢'!$C$5,COUNTIF($B$2:B1841,'🎯 一鍵查詢'!$C$5),"")</f>
        <v/>
      </c>
    </row>
    <row r="1842">
      <c r="A1842" t="n">
        <v>62909</v>
      </c>
      <c r="B1842" t="n">
        <v>6290</v>
      </c>
      <c r="C1842">
        <f>IF(B1842='🎯 一鍵查詢'!$C$5,COUNTIF($B$2:B1842,'🎯 一鍵查詢'!$C$5),"")</f>
        <v/>
      </c>
    </row>
    <row r="1843">
      <c r="A1843" t="n">
        <v>64141</v>
      </c>
      <c r="B1843" t="n">
        <v>6414</v>
      </c>
      <c r="C1843">
        <f>IF(B1843='🎯 一鍵查詢'!$C$5,COUNTIF($B$2:B1843,'🎯 一鍵查詢'!$C$5),"")</f>
        <v/>
      </c>
    </row>
    <row r="1844">
      <c r="A1844" t="n">
        <v>64142</v>
      </c>
      <c r="B1844" t="n">
        <v>6414</v>
      </c>
      <c r="C1844">
        <f>IF(B1844='🎯 一鍵查詢'!$C$5,COUNTIF($B$2:B1844,'🎯 一鍵查詢'!$C$5),"")</f>
        <v/>
      </c>
    </row>
    <row r="1845">
      <c r="A1845" t="n">
        <v>64143</v>
      </c>
      <c r="B1845" t="n">
        <v>6414</v>
      </c>
      <c r="C1845">
        <f>IF(B1845='🎯 一鍵查詢'!$C$5,COUNTIF($B$2:B1845,'🎯 一鍵查詢'!$C$5),"")</f>
        <v/>
      </c>
    </row>
    <row r="1846">
      <c r="A1846" t="n">
        <v>64144</v>
      </c>
      <c r="B1846" t="n">
        <v>6414</v>
      </c>
      <c r="C1846">
        <f>IF(B1846='🎯 一鍵查詢'!$C$5,COUNTIF($B$2:B1846,'🎯 一鍵查詢'!$C$5),"")</f>
        <v/>
      </c>
    </row>
    <row r="1847">
      <c r="A1847" t="n">
        <v>64145</v>
      </c>
      <c r="B1847" t="n">
        <v>6414</v>
      </c>
      <c r="C1847">
        <f>IF(B1847='🎯 一鍵查詢'!$C$5,COUNTIF($B$2:B1847,'🎯 一鍵查詢'!$C$5),"")</f>
        <v/>
      </c>
    </row>
    <row r="1848">
      <c r="A1848" t="n">
        <v>64161</v>
      </c>
      <c r="B1848" t="n">
        <v>6416</v>
      </c>
      <c r="C1848">
        <f>IF(B1848='🎯 一鍵查詢'!$C$5,COUNTIF($B$2:B1848,'🎯 一鍵查詢'!$C$5),"")</f>
        <v/>
      </c>
    </row>
    <row r="1849">
      <c r="A1849" t="n">
        <v>64221</v>
      </c>
      <c r="B1849" t="n">
        <v>6422</v>
      </c>
      <c r="C1849">
        <f>IF(B1849='🎯 一鍵查詢'!$C$5,COUNTIF($B$2:B1849,'🎯 一鍵查詢'!$C$5),"")</f>
        <v/>
      </c>
    </row>
    <row r="1850">
      <c r="A1850" t="n">
        <v>64251</v>
      </c>
      <c r="B1850" t="n">
        <v>6425</v>
      </c>
      <c r="C1850">
        <f>IF(B1850='🎯 一鍵查詢'!$C$5,COUNTIF($B$2:B1850,'🎯 一鍵查詢'!$C$5),"")</f>
        <v/>
      </c>
    </row>
    <row r="1851">
      <c r="A1851" t="n">
        <v>64261</v>
      </c>
      <c r="B1851" t="n">
        <v>6426</v>
      </c>
      <c r="C1851">
        <f>IF(B1851='🎯 一鍵查詢'!$C$5,COUNTIF($B$2:B1851,'🎯 一鍵查詢'!$C$5),"")</f>
        <v/>
      </c>
    </row>
    <row r="1852">
      <c r="A1852" t="n">
        <v>64321</v>
      </c>
      <c r="B1852" t="n">
        <v>6432</v>
      </c>
      <c r="C1852">
        <f>IF(B1852='🎯 一鍵查詢'!$C$5,COUNTIF($B$2:B1852,'🎯 一鍵查詢'!$C$5),"")</f>
        <v/>
      </c>
    </row>
    <row r="1853">
      <c r="A1853" t="n">
        <v>64322</v>
      </c>
      <c r="B1853" t="n">
        <v>6432</v>
      </c>
      <c r="C1853">
        <f>IF(B1853='🎯 一鍵查詢'!$C$5,COUNTIF($B$2:B1853,'🎯 一鍵查詢'!$C$5),"")</f>
        <v/>
      </c>
    </row>
    <row r="1854">
      <c r="A1854" t="n">
        <v>64323</v>
      </c>
      <c r="B1854" t="n">
        <v>6432</v>
      </c>
      <c r="C1854">
        <f>IF(B1854='🎯 一鍵查詢'!$C$5,COUNTIF($B$2:B1854,'🎯 一鍵查詢'!$C$5),"")</f>
        <v/>
      </c>
    </row>
    <row r="1855">
      <c r="A1855" t="n">
        <v>64324</v>
      </c>
      <c r="B1855" t="n">
        <v>6432</v>
      </c>
      <c r="C1855">
        <f>IF(B1855='🎯 一鍵查詢'!$C$5,COUNTIF($B$2:B1855,'🎯 一鍵查詢'!$C$5),"")</f>
        <v/>
      </c>
    </row>
    <row r="1856">
      <c r="A1856" t="n">
        <v>64381</v>
      </c>
      <c r="B1856" t="n">
        <v>6438</v>
      </c>
      <c r="C1856">
        <f>IF(B1856='🎯 一鍵查詢'!$C$5,COUNTIF($B$2:B1856,'🎯 一鍵查詢'!$C$5),"")</f>
        <v/>
      </c>
    </row>
    <row r="1857">
      <c r="A1857" t="n">
        <v>64382</v>
      </c>
      <c r="B1857" t="n">
        <v>6438</v>
      </c>
      <c r="C1857">
        <f>IF(B1857='🎯 一鍵查詢'!$C$5,COUNTIF($B$2:B1857,'🎯 一鍵查詢'!$C$5),"")</f>
        <v/>
      </c>
    </row>
    <row r="1858">
      <c r="A1858" t="n">
        <v>64411</v>
      </c>
      <c r="B1858" t="n">
        <v>6441</v>
      </c>
      <c r="C1858">
        <f>IF(B1858='🎯 一鍵查詢'!$C$5,COUNTIF($B$2:B1858,'🎯 一鍵查詢'!$C$5),"")</f>
        <v/>
      </c>
    </row>
    <row r="1859">
      <c r="A1859" t="n">
        <v>64412</v>
      </c>
      <c r="B1859" t="n">
        <v>6441</v>
      </c>
      <c r="C1859">
        <f>IF(B1859='🎯 一鍵查詢'!$C$5,COUNTIF($B$2:B1859,'🎯 一鍵查詢'!$C$5),"")</f>
        <v/>
      </c>
    </row>
    <row r="1860">
      <c r="A1860" t="n">
        <v>64413</v>
      </c>
      <c r="B1860" t="n">
        <v>6441</v>
      </c>
      <c r="C1860">
        <f>IF(B1860='🎯 一鍵查詢'!$C$5,COUNTIF($B$2:B1860,'🎯 一鍵查詢'!$C$5),"")</f>
        <v/>
      </c>
    </row>
    <row r="1861">
      <c r="A1861" t="n">
        <v>64414</v>
      </c>
      <c r="B1861" t="n">
        <v>6441</v>
      </c>
      <c r="C1861">
        <f>IF(B1861='🎯 一鍵查詢'!$C$5,COUNTIF($B$2:B1861,'🎯 一鍵查詢'!$C$5),"")</f>
        <v/>
      </c>
    </row>
    <row r="1862">
      <c r="A1862" t="n">
        <v>64415</v>
      </c>
      <c r="B1862" t="n">
        <v>6441</v>
      </c>
      <c r="C1862">
        <f>IF(B1862='🎯 一鍵查詢'!$C$5,COUNTIF($B$2:B1862,'🎯 一鍵查詢'!$C$5),"")</f>
        <v/>
      </c>
    </row>
    <row r="1863">
      <c r="A1863" t="n">
        <v>64421</v>
      </c>
      <c r="B1863" t="n">
        <v>6442</v>
      </c>
      <c r="C1863">
        <f>IF(B1863='🎯 一鍵查詢'!$C$5,COUNTIF($B$2:B1863,'🎯 一鍵查詢'!$C$5),"")</f>
        <v/>
      </c>
    </row>
    <row r="1864">
      <c r="A1864" t="n">
        <v>64422</v>
      </c>
      <c r="B1864" t="n">
        <v>6442</v>
      </c>
      <c r="C1864">
        <f>IF(B1864='🎯 一鍵查詢'!$C$5,COUNTIF($B$2:B1864,'🎯 一鍵查詢'!$C$5),"")</f>
        <v/>
      </c>
    </row>
    <row r="1865">
      <c r="A1865" t="n">
        <v>64423</v>
      </c>
      <c r="B1865" t="n">
        <v>6442</v>
      </c>
      <c r="C1865">
        <f>IF(B1865='🎯 一鍵查詢'!$C$5,COUNTIF($B$2:B1865,'🎯 一鍵查詢'!$C$5),"")</f>
        <v/>
      </c>
    </row>
    <row r="1866">
      <c r="A1866" t="n">
        <v>64491</v>
      </c>
      <c r="B1866" t="n">
        <v>6449</v>
      </c>
      <c r="C1866">
        <f>IF(B1866='🎯 一鍵查詢'!$C$5,COUNTIF($B$2:B1866,'🎯 一鍵查詢'!$C$5),"")</f>
        <v/>
      </c>
    </row>
    <row r="1867">
      <c r="A1867" t="n">
        <v>64492</v>
      </c>
      <c r="B1867" t="n">
        <v>6449</v>
      </c>
      <c r="C1867">
        <f>IF(B1867='🎯 一鍵查詢'!$C$5,COUNTIF($B$2:B1867,'🎯 一鍵查詢'!$C$5),"")</f>
        <v/>
      </c>
    </row>
    <row r="1868">
      <c r="A1868" t="n">
        <v>64511</v>
      </c>
      <c r="B1868" t="n">
        <v>6451</v>
      </c>
      <c r="C1868">
        <f>IF(B1868='🎯 一鍵查詢'!$C$5,COUNTIF($B$2:B1868,'🎯 一鍵查詢'!$C$5),"")</f>
        <v/>
      </c>
    </row>
    <row r="1869">
      <c r="A1869" t="n">
        <v>64512</v>
      </c>
      <c r="B1869" t="n">
        <v>6451</v>
      </c>
      <c r="C1869">
        <f>IF(B1869='🎯 一鍵查詢'!$C$5,COUNTIF($B$2:B1869,'🎯 一鍵查詢'!$C$5),"")</f>
        <v/>
      </c>
    </row>
    <row r="1870">
      <c r="A1870" t="n">
        <v>64651</v>
      </c>
      <c r="B1870" t="n">
        <v>6465</v>
      </c>
      <c r="C1870">
        <f>IF(B1870='🎯 一鍵查詢'!$C$5,COUNTIF($B$2:B1870,'🎯 一鍵查詢'!$C$5),"")</f>
        <v/>
      </c>
    </row>
    <row r="1871">
      <c r="A1871" t="n">
        <v>64691</v>
      </c>
      <c r="B1871" t="n">
        <v>6469</v>
      </c>
      <c r="C1871">
        <f>IF(B1871='🎯 一鍵查詢'!$C$5,COUNTIF($B$2:B1871,'🎯 一鍵查詢'!$C$5),"")</f>
        <v/>
      </c>
    </row>
    <row r="1872">
      <c r="A1872" t="n">
        <v>64692</v>
      </c>
      <c r="B1872" t="n">
        <v>6469</v>
      </c>
      <c r="C1872">
        <f>IF(B1872='🎯 一鍵查詢'!$C$5,COUNTIF($B$2:B1872,'🎯 一鍵查詢'!$C$5),"")</f>
        <v/>
      </c>
    </row>
    <row r="1873">
      <c r="A1873" t="n">
        <v>64693</v>
      </c>
      <c r="B1873" t="n">
        <v>6469</v>
      </c>
      <c r="C1873">
        <f>IF(B1873='🎯 一鍵查詢'!$C$5,COUNTIF($B$2:B1873,'🎯 一鍵查詢'!$C$5),"")</f>
        <v/>
      </c>
    </row>
    <row r="1874">
      <c r="A1874" t="n">
        <v>64721</v>
      </c>
      <c r="B1874" t="n">
        <v>6472</v>
      </c>
      <c r="C1874">
        <f>IF(B1874='🎯 一鍵查詢'!$C$5,COUNTIF($B$2:B1874,'🎯 一鍵查詢'!$C$5),"")</f>
        <v/>
      </c>
    </row>
    <row r="1875">
      <c r="A1875" t="n">
        <v>64722</v>
      </c>
      <c r="B1875" t="n">
        <v>6472</v>
      </c>
      <c r="C1875">
        <f>IF(B1875='🎯 一鍵查詢'!$C$5,COUNTIF($B$2:B1875,'🎯 一鍵查詢'!$C$5),"")</f>
        <v/>
      </c>
    </row>
    <row r="1876">
      <c r="A1876" t="n">
        <v>64723</v>
      </c>
      <c r="B1876" t="n">
        <v>6472</v>
      </c>
      <c r="C1876">
        <f>IF(B1876='🎯 一鍵查詢'!$C$5,COUNTIF($B$2:B1876,'🎯 一鍵查詢'!$C$5),"")</f>
        <v/>
      </c>
    </row>
    <row r="1877">
      <c r="A1877" t="n">
        <v>64724</v>
      </c>
      <c r="B1877" t="n">
        <v>6472</v>
      </c>
      <c r="C1877">
        <f>IF(B1877='🎯 一鍵查詢'!$C$5,COUNTIF($B$2:B1877,'🎯 一鍵查詢'!$C$5),"")</f>
        <v/>
      </c>
    </row>
    <row r="1878">
      <c r="A1878" t="n">
        <v>64725</v>
      </c>
      <c r="B1878" t="n">
        <v>6472</v>
      </c>
      <c r="C1878">
        <f>IF(B1878='🎯 一鍵查詢'!$C$5,COUNTIF($B$2:B1878,'🎯 一鍵查詢'!$C$5),"")</f>
        <v/>
      </c>
    </row>
    <row r="1879">
      <c r="A1879" t="n">
        <v>64771</v>
      </c>
      <c r="B1879" t="n">
        <v>6477</v>
      </c>
      <c r="C1879">
        <f>IF(B1879='🎯 一鍵查詢'!$C$5,COUNTIF($B$2:B1879,'🎯 一鍵查詢'!$C$5),"")</f>
        <v/>
      </c>
    </row>
    <row r="1880">
      <c r="A1880" t="n">
        <v>64772</v>
      </c>
      <c r="B1880" t="n">
        <v>6477</v>
      </c>
      <c r="C1880">
        <f>IF(B1880='🎯 一鍵查詢'!$C$5,COUNTIF($B$2:B1880,'🎯 一鍵查詢'!$C$5),"")</f>
        <v/>
      </c>
    </row>
    <row r="1881">
      <c r="A1881" t="n">
        <v>64773</v>
      </c>
      <c r="B1881" t="n">
        <v>6477</v>
      </c>
      <c r="C1881">
        <f>IF(B1881='🎯 一鍵查詢'!$C$5,COUNTIF($B$2:B1881,'🎯 一鍵查詢'!$C$5),"")</f>
        <v/>
      </c>
    </row>
    <row r="1882">
      <c r="A1882" t="n">
        <v>64774</v>
      </c>
      <c r="B1882" t="n">
        <v>6477</v>
      </c>
      <c r="C1882">
        <f>IF(B1882='🎯 一鍵查詢'!$C$5,COUNTIF($B$2:B1882,'🎯 一鍵查詢'!$C$5),"")</f>
        <v/>
      </c>
    </row>
    <row r="1883">
      <c r="A1883" t="n">
        <v>64775</v>
      </c>
      <c r="B1883" t="n">
        <v>6477</v>
      </c>
      <c r="C1883">
        <f>IF(B1883='🎯 一鍵查詢'!$C$5,COUNTIF($B$2:B1883,'🎯 一鍵查詢'!$C$5),"")</f>
        <v/>
      </c>
    </row>
    <row r="1884">
      <c r="A1884" t="n">
        <v>64861</v>
      </c>
      <c r="B1884" t="n">
        <v>6486</v>
      </c>
      <c r="C1884">
        <f>IF(B1884='🎯 一鍵查詢'!$C$5,COUNTIF($B$2:B1884,'🎯 一鍵查詢'!$C$5),"")</f>
        <v/>
      </c>
    </row>
    <row r="1885">
      <c r="A1885" t="n">
        <v>64862</v>
      </c>
      <c r="B1885" t="n">
        <v>6486</v>
      </c>
      <c r="C1885">
        <f>IF(B1885='🎯 一鍵查詢'!$C$5,COUNTIF($B$2:B1885,'🎯 一鍵查詢'!$C$5),"")</f>
        <v/>
      </c>
    </row>
    <row r="1886">
      <c r="A1886" t="n">
        <v>64961</v>
      </c>
      <c r="B1886" t="n">
        <v>6496</v>
      </c>
      <c r="C1886">
        <f>IF(B1886='🎯 一鍵查詢'!$C$5,COUNTIF($B$2:B1886,'🎯 一鍵查詢'!$C$5),"")</f>
        <v/>
      </c>
    </row>
    <row r="1887">
      <c r="A1887" t="n">
        <v>65092</v>
      </c>
      <c r="B1887" t="n">
        <v>6509</v>
      </c>
      <c r="C1887">
        <f>IF(B1887='🎯 一鍵查詢'!$C$5,COUNTIF($B$2:B1887,'🎯 一鍵查詢'!$C$5),"")</f>
        <v/>
      </c>
    </row>
    <row r="1888">
      <c r="A1888" t="n">
        <v>65093</v>
      </c>
      <c r="B1888" t="n">
        <v>6509</v>
      </c>
      <c r="C1888">
        <f>IF(B1888='🎯 一鍵查詢'!$C$5,COUNTIF($B$2:B1888,'🎯 一鍵查詢'!$C$5),"")</f>
        <v/>
      </c>
    </row>
    <row r="1889">
      <c r="A1889" t="n">
        <v>65094</v>
      </c>
      <c r="B1889" t="n">
        <v>6509</v>
      </c>
      <c r="C1889">
        <f>IF(B1889='🎯 一鍵查詢'!$C$5,COUNTIF($B$2:B1889,'🎯 一鍵查詢'!$C$5),"")</f>
        <v/>
      </c>
    </row>
    <row r="1890">
      <c r="A1890" t="n">
        <v>65095</v>
      </c>
      <c r="B1890" t="n">
        <v>6509</v>
      </c>
      <c r="C1890">
        <f>IF(B1890='🎯 一鍵查詢'!$C$5,COUNTIF($B$2:B1890,'🎯 一鍵查詢'!$C$5),"")</f>
        <v/>
      </c>
    </row>
    <row r="1891">
      <c r="A1891" t="n">
        <v>65096</v>
      </c>
      <c r="B1891" t="n">
        <v>6509</v>
      </c>
      <c r="C1891">
        <f>IF(B1891='🎯 一鍵查詢'!$C$5,COUNTIF($B$2:B1891,'🎯 一鍵查詢'!$C$5),"")</f>
        <v/>
      </c>
    </row>
    <row r="1892">
      <c r="A1892" t="n">
        <v>65101</v>
      </c>
      <c r="B1892" t="n">
        <v>6510</v>
      </c>
      <c r="C1892">
        <f>IF(B1892='🎯 一鍵查詢'!$C$5,COUNTIF($B$2:B1892,'🎯 一鍵查詢'!$C$5),"")</f>
        <v/>
      </c>
    </row>
    <row r="1893">
      <c r="A1893" t="n">
        <v>65151</v>
      </c>
      <c r="B1893" t="n">
        <v>6515</v>
      </c>
      <c r="C1893">
        <f>IF(B1893='🎯 一鍵查詢'!$C$5,COUNTIF($B$2:B1893,'🎯 一鍵查詢'!$C$5),"")</f>
        <v/>
      </c>
    </row>
    <row r="1894">
      <c r="A1894" t="n">
        <v>65152</v>
      </c>
      <c r="B1894" t="n">
        <v>6515</v>
      </c>
      <c r="C1894">
        <f>IF(B1894='🎯 一鍵查詢'!$C$5,COUNTIF($B$2:B1894,'🎯 一鍵查詢'!$C$5),"")</f>
        <v/>
      </c>
    </row>
    <row r="1895">
      <c r="A1895" t="n">
        <v>65321</v>
      </c>
      <c r="B1895" t="n">
        <v>6532</v>
      </c>
      <c r="C1895">
        <f>IF(B1895='🎯 一鍵查詢'!$C$5,COUNTIF($B$2:B1895,'🎯 一鍵查詢'!$C$5),"")</f>
        <v/>
      </c>
    </row>
    <row r="1896">
      <c r="A1896" t="n">
        <v>65331</v>
      </c>
      <c r="B1896" t="n">
        <v>6533</v>
      </c>
      <c r="C1896">
        <f>IF(B1896='🎯 一鍵查詢'!$C$5,COUNTIF($B$2:B1896,'🎯 一鍵查詢'!$C$5),"")</f>
        <v/>
      </c>
    </row>
    <row r="1897">
      <c r="A1897" t="n">
        <v>65381</v>
      </c>
      <c r="B1897" t="n">
        <v>6538</v>
      </c>
      <c r="C1897">
        <f>IF(B1897='🎯 一鍵查詢'!$C$5,COUNTIF($B$2:B1897,'🎯 一鍵查詢'!$C$5),"")</f>
        <v/>
      </c>
    </row>
    <row r="1898">
      <c r="A1898" t="n">
        <v>65461</v>
      </c>
      <c r="B1898" t="n">
        <v>6546</v>
      </c>
      <c r="C1898">
        <f>IF(B1898='🎯 一鍵查詢'!$C$5,COUNTIF($B$2:B1898,'🎯 一鍵查詢'!$C$5),"")</f>
        <v/>
      </c>
    </row>
    <row r="1899">
      <c r="A1899" t="n">
        <v>65471</v>
      </c>
      <c r="B1899" t="n">
        <v>6547</v>
      </c>
      <c r="C1899">
        <f>IF(B1899='🎯 一鍵查詢'!$C$5,COUNTIF($B$2:B1899,'🎯 一鍵查詢'!$C$5),"")</f>
        <v/>
      </c>
    </row>
    <row r="1900">
      <c r="A1900" t="n">
        <v>65472</v>
      </c>
      <c r="B1900" t="n">
        <v>6547</v>
      </c>
      <c r="C1900">
        <f>IF(B1900='🎯 一鍵查詢'!$C$5,COUNTIF($B$2:B1900,'🎯 一鍵查詢'!$C$5),"")</f>
        <v/>
      </c>
    </row>
    <row r="1901">
      <c r="A1901" t="n">
        <v>65481</v>
      </c>
      <c r="B1901" t="n">
        <v>6548</v>
      </c>
      <c r="C1901">
        <f>IF(B1901='🎯 一鍵查詢'!$C$5,COUNTIF($B$2:B1901,'🎯 一鍵查詢'!$C$5),"")</f>
        <v/>
      </c>
    </row>
    <row r="1902">
      <c r="A1902" t="n">
        <v>65521</v>
      </c>
      <c r="B1902" t="n">
        <v>6552</v>
      </c>
      <c r="C1902">
        <f>IF(B1902='🎯 一鍵查詢'!$C$5,COUNTIF($B$2:B1902,'🎯 一鍵查詢'!$C$5),"")</f>
        <v/>
      </c>
    </row>
    <row r="1903">
      <c r="A1903" t="n">
        <v>65581</v>
      </c>
      <c r="B1903" t="n">
        <v>6558</v>
      </c>
      <c r="C1903">
        <f>IF(B1903='🎯 一鍵查詢'!$C$5,COUNTIF($B$2:B1903,'🎯 一鍵查詢'!$C$5),"")</f>
        <v/>
      </c>
    </row>
    <row r="1904">
      <c r="A1904" t="n">
        <v>65701</v>
      </c>
      <c r="B1904" t="n">
        <v>6570</v>
      </c>
      <c r="C1904">
        <f>IF(B1904='🎯 一鍵查詢'!$C$5,COUNTIF($B$2:B1904,'🎯 一鍵查詢'!$C$5),"")</f>
        <v/>
      </c>
    </row>
    <row r="1905">
      <c r="A1905" t="n">
        <v>65731</v>
      </c>
      <c r="B1905" t="n">
        <v>6573</v>
      </c>
      <c r="C1905">
        <f>IF(B1905='🎯 一鍵查詢'!$C$5,COUNTIF($B$2:B1905,'🎯 一鍵查詢'!$C$5),"")</f>
        <v/>
      </c>
    </row>
    <row r="1906">
      <c r="A1906" t="n">
        <v>65761</v>
      </c>
      <c r="B1906" t="n">
        <v>6576</v>
      </c>
      <c r="C1906">
        <f>IF(B1906='🎯 一鍵查詢'!$C$5,COUNTIF($B$2:B1906,'🎯 一鍵查詢'!$C$5),"")</f>
        <v/>
      </c>
    </row>
    <row r="1907">
      <c r="A1907" t="n">
        <v>65781</v>
      </c>
      <c r="B1907" t="n">
        <v>6578</v>
      </c>
      <c r="C1907">
        <f>IF(B1907='🎯 一鍵查詢'!$C$5,COUNTIF($B$2:B1907,'🎯 一鍵查詢'!$C$5),"")</f>
        <v/>
      </c>
    </row>
    <row r="1908">
      <c r="A1908" t="n">
        <v>65791</v>
      </c>
      <c r="B1908" t="n">
        <v>6579</v>
      </c>
      <c r="C1908">
        <f>IF(B1908='🎯 一鍵查詢'!$C$5,COUNTIF($B$2:B1908,'🎯 一鍵查詢'!$C$5),"")</f>
        <v/>
      </c>
    </row>
    <row r="1909">
      <c r="A1909" t="n">
        <v>65841</v>
      </c>
      <c r="B1909" t="n">
        <v>6584</v>
      </c>
      <c r="C1909">
        <f>IF(B1909='🎯 一鍵查詢'!$C$5,COUNTIF($B$2:B1909,'🎯 一鍵查詢'!$C$5),"")</f>
        <v/>
      </c>
    </row>
    <row r="1910">
      <c r="A1910" t="n">
        <v>65842</v>
      </c>
      <c r="B1910" t="n">
        <v>6584</v>
      </c>
      <c r="C1910">
        <f>IF(B1910='🎯 一鍵查詢'!$C$5,COUNTIF($B$2:B1910,'🎯 一鍵查詢'!$C$5),"")</f>
        <v/>
      </c>
    </row>
    <row r="1911">
      <c r="A1911" t="n">
        <v>65851</v>
      </c>
      <c r="B1911" t="n">
        <v>6585</v>
      </c>
      <c r="C1911">
        <f>IF(B1911='🎯 一鍵查詢'!$C$5,COUNTIF($B$2:B1911,'🎯 一鍵查詢'!$C$5),"")</f>
        <v/>
      </c>
    </row>
    <row r="1912">
      <c r="A1912" t="n">
        <v>65852</v>
      </c>
      <c r="B1912" t="n">
        <v>6585</v>
      </c>
      <c r="C1912">
        <f>IF(B1912='🎯 一鍵查詢'!$C$5,COUNTIF($B$2:B1912,'🎯 一鍵查詢'!$C$5),"")</f>
        <v/>
      </c>
    </row>
    <row r="1913">
      <c r="A1913" t="n">
        <v>65891</v>
      </c>
      <c r="B1913" t="n">
        <v>6589</v>
      </c>
      <c r="C1913">
        <f>IF(B1913='🎯 一鍵查詢'!$C$5,COUNTIF($B$2:B1913,'🎯 一鍵查詢'!$C$5),"")</f>
        <v/>
      </c>
    </row>
    <row r="1914">
      <c r="A1914" t="n">
        <v>65911</v>
      </c>
      <c r="B1914" t="n">
        <v>6591</v>
      </c>
      <c r="C1914">
        <f>IF(B1914='🎯 一鍵查詢'!$C$5,COUNTIF($B$2:B1914,'🎯 一鍵查詢'!$C$5),"")</f>
        <v/>
      </c>
    </row>
    <row r="1915">
      <c r="A1915" t="n">
        <v>65912</v>
      </c>
      <c r="B1915" t="n">
        <v>6591</v>
      </c>
      <c r="C1915">
        <f>IF(B1915='🎯 一鍵查詢'!$C$5,COUNTIF($B$2:B1915,'🎯 一鍵查詢'!$C$5),"")</f>
        <v/>
      </c>
    </row>
    <row r="1916">
      <c r="A1916" t="n">
        <v>65913</v>
      </c>
      <c r="B1916" t="n">
        <v>6591</v>
      </c>
      <c r="C1916">
        <f>IF(B1916='🎯 一鍵查詢'!$C$5,COUNTIF($B$2:B1916,'🎯 一鍵查詢'!$C$5),"")</f>
        <v/>
      </c>
    </row>
    <row r="1917">
      <c r="A1917" t="n">
        <v>65914</v>
      </c>
      <c r="B1917" t="n">
        <v>6591</v>
      </c>
      <c r="C1917">
        <f>IF(B1917='🎯 一鍵查詢'!$C$5,COUNTIF($B$2:B1917,'🎯 一鍵查詢'!$C$5),"")</f>
        <v/>
      </c>
    </row>
    <row r="1918">
      <c r="A1918" t="n">
        <v>65931</v>
      </c>
      <c r="B1918" t="n">
        <v>6593</v>
      </c>
      <c r="C1918">
        <f>IF(B1918='🎯 一鍵查詢'!$C$5,COUNTIF($B$2:B1918,'🎯 一鍵查詢'!$C$5),"")</f>
        <v/>
      </c>
    </row>
    <row r="1919">
      <c r="A1919" t="n">
        <v>66031</v>
      </c>
      <c r="B1919" t="n">
        <v>6603</v>
      </c>
      <c r="C1919">
        <f>IF(B1919='🎯 一鍵查詢'!$C$5,COUNTIF($B$2:B1919,'🎯 一鍵查詢'!$C$5),"")</f>
        <v/>
      </c>
    </row>
    <row r="1920">
      <c r="A1920" t="n">
        <v>66032</v>
      </c>
      <c r="B1920" t="n">
        <v>6603</v>
      </c>
      <c r="C1920">
        <f>IF(B1920='🎯 一鍵查詢'!$C$5,COUNTIF($B$2:B1920,'🎯 一鍵查詢'!$C$5),"")</f>
        <v/>
      </c>
    </row>
    <row r="1921">
      <c r="A1921" t="n">
        <v>66033</v>
      </c>
      <c r="B1921" t="n">
        <v>6603</v>
      </c>
      <c r="C1921">
        <f>IF(B1921='🎯 一鍵查詢'!$C$5,COUNTIF($B$2:B1921,'🎯 一鍵查詢'!$C$5),"")</f>
        <v/>
      </c>
    </row>
    <row r="1922">
      <c r="A1922" t="n">
        <v>66051</v>
      </c>
      <c r="B1922" t="n">
        <v>6605</v>
      </c>
      <c r="C1922">
        <f>IF(B1922='🎯 一鍵查詢'!$C$5,COUNTIF($B$2:B1922,'🎯 一鍵查詢'!$C$5),"")</f>
        <v/>
      </c>
    </row>
    <row r="1923">
      <c r="A1923" t="n">
        <v>66131</v>
      </c>
      <c r="B1923" t="n">
        <v>6613</v>
      </c>
      <c r="C1923">
        <f>IF(B1923='🎯 一鍵查詢'!$C$5,COUNTIF($B$2:B1923,'🎯 一鍵查詢'!$C$5),"")</f>
        <v/>
      </c>
    </row>
    <row r="1924">
      <c r="A1924" t="n">
        <v>66161</v>
      </c>
      <c r="B1924" t="n">
        <v>6616</v>
      </c>
      <c r="C1924">
        <f>IF(B1924='🎯 一鍵查詢'!$C$5,COUNTIF($B$2:B1924,'🎯 一鍵查詢'!$C$5),"")</f>
        <v/>
      </c>
    </row>
    <row r="1925">
      <c r="A1925" t="n">
        <v>66162</v>
      </c>
      <c r="B1925" t="n">
        <v>6616</v>
      </c>
      <c r="C1925">
        <f>IF(B1925='🎯 一鍵查詢'!$C$5,COUNTIF($B$2:B1925,'🎯 一鍵查詢'!$C$5),"")</f>
        <v/>
      </c>
    </row>
    <row r="1926">
      <c r="A1926" t="n">
        <v>66163</v>
      </c>
      <c r="B1926" t="n">
        <v>6616</v>
      </c>
      <c r="C1926">
        <f>IF(B1926='🎯 一鍵查詢'!$C$5,COUNTIF($B$2:B1926,'🎯 一鍵查詢'!$C$5),"")</f>
        <v/>
      </c>
    </row>
    <row r="1927">
      <c r="A1927" t="n">
        <v>66241</v>
      </c>
      <c r="B1927" t="n">
        <v>6624</v>
      </c>
      <c r="C1927">
        <f>IF(B1927='🎯 一鍵查詢'!$C$5,COUNTIF($B$2:B1927,'🎯 一鍵查詢'!$C$5),"")</f>
        <v/>
      </c>
    </row>
    <row r="1928">
      <c r="A1928" t="n">
        <v>66291</v>
      </c>
      <c r="B1928" t="n">
        <v>6629</v>
      </c>
      <c r="C1928">
        <f>IF(B1928='🎯 一鍵查詢'!$C$5,COUNTIF($B$2:B1928,'🎯 一鍵查詢'!$C$5),"")</f>
        <v/>
      </c>
    </row>
    <row r="1929">
      <c r="A1929" t="n">
        <v>66292</v>
      </c>
      <c r="B1929" t="n">
        <v>6629</v>
      </c>
      <c r="C1929">
        <f>IF(B1929='🎯 一鍵查詢'!$C$5,COUNTIF($B$2:B1929,'🎯 一鍵查詢'!$C$5),"")</f>
        <v/>
      </c>
    </row>
    <row r="1930">
      <c r="A1930" t="n">
        <v>66411</v>
      </c>
      <c r="B1930" t="n">
        <v>6641</v>
      </c>
      <c r="C1930">
        <f>IF(B1930='🎯 一鍵查詢'!$C$5,COUNTIF($B$2:B1930,'🎯 一鍵查詢'!$C$5),"")</f>
        <v/>
      </c>
    </row>
    <row r="1931">
      <c r="A1931" t="n">
        <v>66451</v>
      </c>
      <c r="B1931" t="n">
        <v>6645</v>
      </c>
      <c r="C1931">
        <f>IF(B1931='🎯 一鍵查詢'!$C$5,COUNTIF($B$2:B1931,'🎯 一鍵查詢'!$C$5),"")</f>
        <v/>
      </c>
    </row>
    <row r="1932">
      <c r="A1932" t="n">
        <v>66541</v>
      </c>
      <c r="B1932" t="n">
        <v>6654</v>
      </c>
      <c r="C1932">
        <f>IF(B1932='🎯 一鍵查詢'!$C$5,COUNTIF($B$2:B1932,'🎯 一鍵查詢'!$C$5),"")</f>
        <v/>
      </c>
    </row>
    <row r="1933">
      <c r="A1933" t="n">
        <v>66551</v>
      </c>
      <c r="B1933" t="n">
        <v>6655</v>
      </c>
      <c r="C1933">
        <f>IF(B1933='🎯 一鍵查詢'!$C$5,COUNTIF($B$2:B1933,'🎯 一鍵查詢'!$C$5),"")</f>
        <v/>
      </c>
    </row>
    <row r="1934">
      <c r="A1934" t="n">
        <v>66641</v>
      </c>
      <c r="B1934" t="n">
        <v>6664</v>
      </c>
      <c r="C1934">
        <f>IF(B1934='🎯 一鍵查詢'!$C$5,COUNTIF($B$2:B1934,'🎯 一鍵查詢'!$C$5),"")</f>
        <v/>
      </c>
    </row>
    <row r="1935">
      <c r="A1935" t="n">
        <v>66642</v>
      </c>
      <c r="B1935" t="n">
        <v>6664</v>
      </c>
      <c r="C1935">
        <f>IF(B1935='🎯 一鍵查詢'!$C$5,COUNTIF($B$2:B1935,'🎯 一鍵查詢'!$C$5),"")</f>
        <v/>
      </c>
    </row>
    <row r="1936">
      <c r="A1936" t="n">
        <v>66681</v>
      </c>
      <c r="B1936" t="n">
        <v>6668</v>
      </c>
      <c r="C1936">
        <f>IF(B1936='🎯 一鍵查詢'!$C$5,COUNTIF($B$2:B1936,'🎯 一鍵查詢'!$C$5),"")</f>
        <v/>
      </c>
    </row>
    <row r="1937">
      <c r="A1937" t="n">
        <v>66682</v>
      </c>
      <c r="B1937" t="n">
        <v>6668</v>
      </c>
      <c r="C1937">
        <f>IF(B1937='🎯 一鍵查詢'!$C$5,COUNTIF($B$2:B1937,'🎯 一鍵查詢'!$C$5),"")</f>
        <v/>
      </c>
    </row>
    <row r="1938">
      <c r="A1938" t="n">
        <v>66683</v>
      </c>
      <c r="B1938" t="n">
        <v>6668</v>
      </c>
      <c r="C1938">
        <f>IF(B1938='🎯 一鍵查詢'!$C$5,COUNTIF($B$2:B1938,'🎯 一鍵查詢'!$C$5),"")</f>
        <v/>
      </c>
    </row>
    <row r="1939">
      <c r="A1939" t="n">
        <v>66701</v>
      </c>
      <c r="B1939" t="n">
        <v>6670</v>
      </c>
      <c r="C1939">
        <f>IF(B1939='🎯 一鍵查詢'!$C$5,COUNTIF($B$2:B1939,'🎯 一鍵查詢'!$C$5),"")</f>
        <v/>
      </c>
    </row>
    <row r="1940">
      <c r="A1940" t="n">
        <v>66702</v>
      </c>
      <c r="B1940" t="n">
        <v>6670</v>
      </c>
      <c r="C1940">
        <f>IF(B1940='🎯 一鍵查詢'!$C$5,COUNTIF($B$2:B1940,'🎯 一鍵查詢'!$C$5),"")</f>
        <v/>
      </c>
    </row>
    <row r="1941">
      <c r="A1941" t="n">
        <v>66721</v>
      </c>
      <c r="B1941" t="n">
        <v>6672</v>
      </c>
      <c r="C1941">
        <f>IF(B1941='🎯 一鍵查詢'!$C$5,COUNTIF($B$2:B1941,'🎯 一鍵查詢'!$C$5),"")</f>
        <v/>
      </c>
    </row>
    <row r="1942">
      <c r="A1942" t="n">
        <v>66722</v>
      </c>
      <c r="B1942" t="n">
        <v>6672</v>
      </c>
      <c r="C1942">
        <f>IF(B1942='🎯 一鍵查詢'!$C$5,COUNTIF($B$2:B1942,'🎯 一鍵查詢'!$C$5),"")</f>
        <v/>
      </c>
    </row>
    <row r="1943">
      <c r="A1943" t="n">
        <v>66801</v>
      </c>
      <c r="B1943" t="n">
        <v>6680</v>
      </c>
      <c r="C1943">
        <f>IF(B1943='🎯 一鍵查詢'!$C$5,COUNTIF($B$2:B1943,'🎯 一鍵查詢'!$C$5),"")</f>
        <v/>
      </c>
    </row>
    <row r="1944">
      <c r="A1944" t="n">
        <v>67021</v>
      </c>
      <c r="B1944" t="n">
        <v>6702</v>
      </c>
      <c r="C1944">
        <f>IF(B1944='🎯 一鍵查詢'!$C$5,COUNTIF($B$2:B1944,'🎯 一鍵查詢'!$C$5),"")</f>
        <v/>
      </c>
    </row>
    <row r="1945">
      <c r="A1945" t="n">
        <v>67061</v>
      </c>
      <c r="B1945" t="n">
        <v>6706</v>
      </c>
      <c r="C1945">
        <f>IF(B1945='🎯 一鍵查詢'!$C$5,COUNTIF($B$2:B1945,'🎯 一鍵查詢'!$C$5),"")</f>
        <v/>
      </c>
    </row>
    <row r="1946">
      <c r="A1946" t="n">
        <v>67062</v>
      </c>
      <c r="B1946" t="n">
        <v>6706</v>
      </c>
      <c r="C1946">
        <f>IF(B1946='🎯 一鍵查詢'!$C$5,COUNTIF($B$2:B1946,'🎯 一鍵查詢'!$C$5),"")</f>
        <v/>
      </c>
    </row>
    <row r="1947">
      <c r="A1947" t="n">
        <v>67151</v>
      </c>
      <c r="B1947" t="n">
        <v>6715</v>
      </c>
      <c r="C1947">
        <f>IF(B1947='🎯 一鍵查詢'!$C$5,COUNTIF($B$2:B1947,'🎯 一鍵查詢'!$C$5),"")</f>
        <v/>
      </c>
    </row>
    <row r="1948">
      <c r="A1948" t="n">
        <v>67152</v>
      </c>
      <c r="B1948" t="n">
        <v>6715</v>
      </c>
      <c r="C1948">
        <f>IF(B1948='🎯 一鍵查詢'!$C$5,COUNTIF($B$2:B1948,'🎯 一鍵查詢'!$C$5),"")</f>
        <v/>
      </c>
    </row>
    <row r="1949">
      <c r="A1949" t="n">
        <v>67271</v>
      </c>
      <c r="B1949" t="n">
        <v>6727</v>
      </c>
      <c r="C1949">
        <f>IF(B1949='🎯 一鍵查詢'!$C$5,COUNTIF($B$2:B1949,'🎯 一鍵查詢'!$C$5),"")</f>
        <v/>
      </c>
    </row>
    <row r="1950">
      <c r="A1950" t="n">
        <v>67531</v>
      </c>
      <c r="B1950" t="n">
        <v>6753</v>
      </c>
      <c r="C1950">
        <f>IF(B1950='🎯 一鍵查詢'!$C$5,COUNTIF($B$2:B1950,'🎯 一鍵查詢'!$C$5),"")</f>
        <v/>
      </c>
    </row>
    <row r="1951">
      <c r="A1951" t="n">
        <v>67611</v>
      </c>
      <c r="B1951" t="n">
        <v>6761</v>
      </c>
      <c r="C1951">
        <f>IF(B1951='🎯 一鍵查詢'!$C$5,COUNTIF($B$2:B1951,'🎯 一鍵查詢'!$C$5),"")</f>
        <v/>
      </c>
    </row>
    <row r="1952">
      <c r="A1952" t="n">
        <v>67681</v>
      </c>
      <c r="B1952" t="n">
        <v>6768</v>
      </c>
      <c r="C1952">
        <f>IF(B1952='🎯 一鍵查詢'!$C$5,COUNTIF($B$2:B1952,'🎯 一鍵查詢'!$C$5),"")</f>
        <v/>
      </c>
    </row>
    <row r="1953">
      <c r="A1953" t="n">
        <v>67711</v>
      </c>
      <c r="B1953" t="n">
        <v>6771</v>
      </c>
      <c r="C1953">
        <f>IF(B1953='🎯 一鍵查詢'!$C$5,COUNTIF($B$2:B1953,'🎯 一鍵查詢'!$C$5),"")</f>
        <v/>
      </c>
    </row>
    <row r="1954">
      <c r="A1954" t="n">
        <v>67961</v>
      </c>
      <c r="B1954" t="n">
        <v>6796</v>
      </c>
      <c r="C1954">
        <f>IF(B1954='🎯 一鍵查詢'!$C$5,COUNTIF($B$2:B1954,'🎯 一鍵查詢'!$C$5),"")</f>
        <v/>
      </c>
    </row>
    <row r="1955">
      <c r="A1955" t="n">
        <v>67962</v>
      </c>
      <c r="B1955" t="n">
        <v>6796</v>
      </c>
      <c r="C1955">
        <f>IF(B1955='🎯 一鍵查詢'!$C$5,COUNTIF($B$2:B1955,'🎯 一鍵查詢'!$C$5),"")</f>
        <v/>
      </c>
    </row>
    <row r="1956">
      <c r="A1956" t="n">
        <v>68031</v>
      </c>
      <c r="B1956" t="n">
        <v>6803</v>
      </c>
      <c r="C1956">
        <f>IF(B1956='🎯 一鍵查詢'!$C$5,COUNTIF($B$2:B1956,'🎯 一鍵查詢'!$C$5),"")</f>
        <v/>
      </c>
    </row>
    <row r="1957">
      <c r="A1957" t="n">
        <v>68041</v>
      </c>
      <c r="B1957" t="n">
        <v>6804</v>
      </c>
      <c r="C1957">
        <f>IF(B1957='🎯 一鍵查詢'!$C$5,COUNTIF($B$2:B1957,'🎯 一鍵查詢'!$C$5),"")</f>
        <v/>
      </c>
    </row>
    <row r="1958">
      <c r="A1958" t="n">
        <v>68061</v>
      </c>
      <c r="B1958" t="n">
        <v>6806</v>
      </c>
      <c r="C1958">
        <f>IF(B1958='🎯 一鍵查詢'!$C$5,COUNTIF($B$2:B1958,'🎯 一鍵查詢'!$C$5),"")</f>
        <v/>
      </c>
    </row>
    <row r="1959">
      <c r="A1959" t="n">
        <v>68211</v>
      </c>
      <c r="B1959" t="n">
        <v>6821</v>
      </c>
      <c r="C1959">
        <f>IF(B1959='🎯 一鍵查詢'!$C$5,COUNTIF($B$2:B1959,'🎯 一鍵查詢'!$C$5),"")</f>
        <v/>
      </c>
    </row>
    <row r="1960">
      <c r="A1960" t="n">
        <v>68231</v>
      </c>
      <c r="B1960" t="n">
        <v>6823</v>
      </c>
      <c r="C1960">
        <f>IF(B1960='🎯 一鍵查詢'!$C$5,COUNTIF($B$2:B1960,'🎯 一鍵查詢'!$C$5),"")</f>
        <v/>
      </c>
    </row>
    <row r="1961">
      <c r="A1961" t="n">
        <v>68301</v>
      </c>
      <c r="B1961" t="n">
        <v>6830</v>
      </c>
      <c r="C1961">
        <f>IF(B1961='🎯 一鍵查詢'!$C$5,COUNTIF($B$2:B1961,'🎯 一鍵查詢'!$C$5),"")</f>
        <v/>
      </c>
    </row>
    <row r="1962">
      <c r="A1962" t="n">
        <v>68351</v>
      </c>
      <c r="B1962" t="n">
        <v>6835</v>
      </c>
      <c r="C1962">
        <f>IF(B1962='🎯 一鍵查詢'!$C$5,COUNTIF($B$2:B1962,'🎯 一鍵查詢'!$C$5),"")</f>
        <v/>
      </c>
    </row>
    <row r="1963">
      <c r="A1963" t="n">
        <v>68401</v>
      </c>
      <c r="B1963" t="n">
        <v>6840</v>
      </c>
      <c r="C1963">
        <f>IF(B1963='🎯 一鍵查詢'!$C$5,COUNTIF($B$2:B1963,'🎯 一鍵查詢'!$C$5),"")</f>
        <v/>
      </c>
    </row>
    <row r="1964">
      <c r="A1964" t="n">
        <v>68431</v>
      </c>
      <c r="B1964" t="n">
        <v>6843</v>
      </c>
      <c r="C1964">
        <f>IF(B1964='🎯 一鍵查詢'!$C$5,COUNTIF($B$2:B1964,'🎯 一鍵查詢'!$C$5),"")</f>
        <v/>
      </c>
    </row>
    <row r="1965">
      <c r="A1965" t="n">
        <v>68461</v>
      </c>
      <c r="B1965" t="n">
        <v>6846</v>
      </c>
      <c r="C1965">
        <f>IF(B1965='🎯 一鍵查詢'!$C$5,COUNTIF($B$2:B1965,'🎯 一鍵查詢'!$C$5),"")</f>
        <v/>
      </c>
    </row>
    <row r="1966">
      <c r="A1966" t="n">
        <v>68462</v>
      </c>
      <c r="B1966" t="n">
        <v>6846</v>
      </c>
      <c r="C1966">
        <f>IF(B1966='🎯 一鍵查詢'!$C$5,COUNTIF($B$2:B1966,'🎯 一鍵查詢'!$C$5),"")</f>
        <v/>
      </c>
    </row>
    <row r="1967">
      <c r="A1967" t="n">
        <v>68541</v>
      </c>
      <c r="B1967" t="n">
        <v>6854</v>
      </c>
      <c r="C1967">
        <f>IF(B1967='🎯 一鍵查詢'!$C$5,COUNTIF($B$2:B1967,'🎯 一鍵查詢'!$C$5),"")</f>
        <v/>
      </c>
    </row>
    <row r="1968">
      <c r="A1968" t="n">
        <v>68621</v>
      </c>
      <c r="B1968" t="n">
        <v>6862</v>
      </c>
      <c r="C1968">
        <f>IF(B1968='🎯 一鍵查詢'!$C$5,COUNTIF($B$2:B1968,'🎯 一鍵查詢'!$C$5),"")</f>
        <v/>
      </c>
    </row>
    <row r="1969">
      <c r="A1969" t="n">
        <v>68631</v>
      </c>
      <c r="B1969" t="n">
        <v>6863</v>
      </c>
      <c r="C1969">
        <f>IF(B1969='🎯 一鍵查詢'!$C$5,COUNTIF($B$2:B1969,'🎯 一鍵查詢'!$C$5),"")</f>
        <v/>
      </c>
    </row>
    <row r="1970">
      <c r="A1970" t="n">
        <v>68691</v>
      </c>
      <c r="B1970" t="n">
        <v>6869</v>
      </c>
      <c r="C1970">
        <f>IF(B1970='🎯 一鍵查詢'!$C$5,COUNTIF($B$2:B1970,'🎯 一鍵查詢'!$C$5),"")</f>
        <v/>
      </c>
    </row>
    <row r="1971">
      <c r="A1971" t="n">
        <v>68701</v>
      </c>
      <c r="B1971" t="n">
        <v>6870</v>
      </c>
      <c r="C1971">
        <f>IF(B1971='🎯 一鍵查詢'!$C$5,COUNTIF($B$2:B1971,'🎯 一鍵查詢'!$C$5),"")</f>
        <v/>
      </c>
    </row>
    <row r="1972">
      <c r="A1972" t="n">
        <v>68702</v>
      </c>
      <c r="B1972" t="n">
        <v>6870</v>
      </c>
      <c r="C1972">
        <f>IF(B1972='🎯 一鍵查詢'!$C$5,COUNTIF($B$2:B1972,'🎯 一鍵查詢'!$C$5),"")</f>
        <v/>
      </c>
    </row>
    <row r="1973">
      <c r="A1973" t="n">
        <v>68731</v>
      </c>
      <c r="B1973" t="n">
        <v>6873</v>
      </c>
      <c r="C1973">
        <f>IF(B1973='🎯 一鍵查詢'!$C$5,COUNTIF($B$2:B1973,'🎯 一鍵查詢'!$C$5),"")</f>
        <v/>
      </c>
    </row>
    <row r="1974">
      <c r="A1974" t="n">
        <v>68732</v>
      </c>
      <c r="B1974" t="n">
        <v>6873</v>
      </c>
      <c r="C1974">
        <f>IF(B1974='🎯 一鍵查詢'!$C$5,COUNTIF($B$2:B1974,'🎯 一鍵查詢'!$C$5),"")</f>
        <v/>
      </c>
    </row>
    <row r="1975">
      <c r="A1975" t="n">
        <v>68741</v>
      </c>
      <c r="B1975" t="n">
        <v>6874</v>
      </c>
      <c r="C1975">
        <f>IF(B1975='🎯 一鍵查詢'!$C$5,COUNTIF($B$2:B1975,'🎯 一鍵查詢'!$C$5),"")</f>
        <v/>
      </c>
    </row>
    <row r="1976">
      <c r="A1976" t="n">
        <v>68901</v>
      </c>
      <c r="B1976" t="n">
        <v>6890</v>
      </c>
      <c r="C1976">
        <f>IF(B1976='🎯 一鍵查詢'!$C$5,COUNTIF($B$2:B1976,'🎯 一鍵查詢'!$C$5),"")</f>
        <v/>
      </c>
    </row>
    <row r="1977">
      <c r="A1977" t="n">
        <v>68902</v>
      </c>
      <c r="B1977" t="n">
        <v>6890</v>
      </c>
      <c r="C1977">
        <f>IF(B1977='🎯 一鍵查詢'!$C$5,COUNTIF($B$2:B1977,'🎯 一鍵查詢'!$C$5),"")</f>
        <v/>
      </c>
    </row>
    <row r="1978">
      <c r="A1978" t="n">
        <v>68941</v>
      </c>
      <c r="B1978" t="n">
        <v>6894</v>
      </c>
      <c r="C1978">
        <f>IF(B1978='🎯 一鍵查詢'!$C$5,COUNTIF($B$2:B1978,'🎯 一鍵查詢'!$C$5),"")</f>
        <v/>
      </c>
    </row>
    <row r="1979">
      <c r="A1979" t="n">
        <v>69041</v>
      </c>
      <c r="B1979" t="n">
        <v>6904</v>
      </c>
      <c r="C1979">
        <f>IF(B1979='🎯 一鍵查詢'!$C$5,COUNTIF($B$2:B1979,'🎯 一鍵查詢'!$C$5),"")</f>
        <v/>
      </c>
    </row>
    <row r="1980">
      <c r="A1980" t="n">
        <v>69131</v>
      </c>
      <c r="B1980" t="n">
        <v>6913</v>
      </c>
      <c r="C1980">
        <f>IF(B1980='🎯 一鍵查詢'!$C$5,COUNTIF($B$2:B1980,'🎯 一鍵查詢'!$C$5),"")</f>
        <v/>
      </c>
    </row>
    <row r="1981">
      <c r="A1981" t="n">
        <v>69571</v>
      </c>
      <c r="B1981" t="n">
        <v>6957</v>
      </c>
      <c r="C1981">
        <f>IF(B1981='🎯 一鍵查詢'!$C$5,COUNTIF($B$2:B1981,'🎯 一鍵查詢'!$C$5),"")</f>
        <v/>
      </c>
    </row>
    <row r="1982">
      <c r="A1982" t="n">
        <v>69821</v>
      </c>
      <c r="B1982" t="n">
        <v>6982</v>
      </c>
      <c r="C1982">
        <f>IF(B1982='🎯 一鍵查詢'!$C$5,COUNTIF($B$2:B1982,'🎯 一鍵查詢'!$C$5),"")</f>
        <v/>
      </c>
    </row>
    <row r="1983">
      <c r="A1983" t="n">
        <v>69822</v>
      </c>
      <c r="B1983" t="n">
        <v>6982</v>
      </c>
      <c r="C1983">
        <f>IF(B1983='🎯 一鍵查詢'!$C$5,COUNTIF($B$2:B1983,'🎯 一鍵查詢'!$C$5),"")</f>
        <v/>
      </c>
    </row>
    <row r="1984">
      <c r="A1984" t="n">
        <v>74021</v>
      </c>
      <c r="B1984" t="n">
        <v>7402</v>
      </c>
      <c r="C1984">
        <f>IF(B1984='🎯 一鍵查詢'!$C$5,COUNTIF($B$2:B1984,'🎯 一鍵查詢'!$C$5),"")</f>
        <v/>
      </c>
    </row>
    <row r="1985">
      <c r="A1985" t="n">
        <v>74022</v>
      </c>
      <c r="B1985" t="n">
        <v>7402</v>
      </c>
      <c r="C1985">
        <f>IF(B1985='🎯 一鍵查詢'!$C$5,COUNTIF($B$2:B1985,'🎯 一鍵查詢'!$C$5),"")</f>
        <v/>
      </c>
    </row>
    <row r="1986">
      <c r="A1986" t="n">
        <v>75561</v>
      </c>
      <c r="B1986" t="n">
        <v>7556</v>
      </c>
      <c r="C1986">
        <f>IF(B1986='🎯 一鍵查詢'!$C$5,COUNTIF($B$2:B1986,'🎯 一鍵查詢'!$C$5),"")</f>
        <v/>
      </c>
    </row>
    <row r="1987">
      <c r="A1987" t="n">
        <v>75562</v>
      </c>
      <c r="B1987" t="n">
        <v>7556</v>
      </c>
      <c r="C1987">
        <f>IF(B1987='🎯 一鍵查詢'!$C$5,COUNTIF($B$2:B1987,'🎯 一鍵查詢'!$C$5),"")</f>
        <v/>
      </c>
    </row>
    <row r="1988">
      <c r="A1988" t="n">
        <v>77131</v>
      </c>
      <c r="B1988" t="n">
        <v>7713</v>
      </c>
      <c r="C1988">
        <f>IF(B1988='🎯 一鍵查詢'!$C$5,COUNTIF($B$2:B1988,'🎯 一鍵查詢'!$C$5),"")</f>
        <v/>
      </c>
    </row>
    <row r="1989">
      <c r="A1989" t="n">
        <v>80111</v>
      </c>
      <c r="B1989" t="n">
        <v>8011</v>
      </c>
      <c r="C1989">
        <f>IF(B1989='🎯 一鍵查詢'!$C$5,COUNTIF($B$2:B1989,'🎯 一鍵查詢'!$C$5),"")</f>
        <v/>
      </c>
    </row>
    <row r="1990">
      <c r="A1990" t="n">
        <v>80112</v>
      </c>
      <c r="B1990" t="n">
        <v>8011</v>
      </c>
      <c r="C1990">
        <f>IF(B1990='🎯 一鍵查詢'!$C$5,COUNTIF($B$2:B1990,'🎯 一鍵查詢'!$C$5),"")</f>
        <v/>
      </c>
    </row>
    <row r="1991">
      <c r="A1991" t="n">
        <v>80113</v>
      </c>
      <c r="B1991" t="n">
        <v>8011</v>
      </c>
      <c r="C1991">
        <f>IF(B1991='🎯 一鍵查詢'!$C$5,COUNTIF($B$2:B1991,'🎯 一鍵查詢'!$C$5),"")</f>
        <v/>
      </c>
    </row>
    <row r="1992">
      <c r="A1992" t="n">
        <v>80114</v>
      </c>
      <c r="B1992" t="n">
        <v>8011</v>
      </c>
      <c r="C1992">
        <f>IF(B1992='🎯 一鍵查詢'!$C$5,COUNTIF($B$2:B1992,'🎯 一鍵查詢'!$C$5),"")</f>
        <v/>
      </c>
    </row>
    <row r="1993">
      <c r="A1993" t="n">
        <v>80161</v>
      </c>
      <c r="B1993" t="n">
        <v>8016</v>
      </c>
      <c r="C1993">
        <f>IF(B1993='🎯 一鍵查詢'!$C$5,COUNTIF($B$2:B1993,'🎯 一鍵查詢'!$C$5),"")</f>
        <v/>
      </c>
    </row>
    <row r="1994">
      <c r="A1994" t="n">
        <v>80211</v>
      </c>
      <c r="B1994" t="n">
        <v>8021</v>
      </c>
      <c r="C1994">
        <f>IF(B1994='🎯 一鍵查詢'!$C$5,COUNTIF($B$2:B1994,'🎯 一鍵查詢'!$C$5),"")</f>
        <v/>
      </c>
    </row>
    <row r="1995">
      <c r="A1995" t="n">
        <v>80212</v>
      </c>
      <c r="B1995" t="n">
        <v>8021</v>
      </c>
      <c r="C1995">
        <f>IF(B1995='🎯 一鍵查詢'!$C$5,COUNTIF($B$2:B1995,'🎯 一鍵查詢'!$C$5),"")</f>
        <v/>
      </c>
    </row>
    <row r="1996">
      <c r="A1996" t="n">
        <v>80271</v>
      </c>
      <c r="B1996" t="n">
        <v>8027</v>
      </c>
      <c r="C1996">
        <f>IF(B1996='🎯 一鍵查詢'!$C$5,COUNTIF($B$2:B1996,'🎯 一鍵查詢'!$C$5),"")</f>
        <v/>
      </c>
    </row>
    <row r="1997">
      <c r="A1997" t="n">
        <v>80272</v>
      </c>
      <c r="B1997" t="n">
        <v>8027</v>
      </c>
      <c r="C1997">
        <f>IF(B1997='🎯 一鍵查詢'!$C$5,COUNTIF($B$2:B1997,'🎯 一鍵查詢'!$C$5),"")</f>
        <v/>
      </c>
    </row>
    <row r="1998">
      <c r="A1998" t="n">
        <v>80273</v>
      </c>
      <c r="B1998" t="n">
        <v>8027</v>
      </c>
      <c r="C1998">
        <f>IF(B1998='🎯 一鍵查詢'!$C$5,COUNTIF($B$2:B1998,'🎯 一鍵查詢'!$C$5),"")</f>
        <v/>
      </c>
    </row>
    <row r="1999">
      <c r="A1999" t="n">
        <v>80281</v>
      </c>
      <c r="B1999" t="n">
        <v>8028</v>
      </c>
      <c r="C1999">
        <f>IF(B1999='🎯 一鍵查詢'!$C$5,COUNTIF($B$2:B1999,'🎯 一鍵查詢'!$C$5),"")</f>
        <v/>
      </c>
    </row>
    <row r="2000">
      <c r="A2000" t="n">
        <v>80282</v>
      </c>
      <c r="B2000" t="n">
        <v>8028</v>
      </c>
      <c r="C2000">
        <f>IF(B2000='🎯 一鍵查詢'!$C$5,COUNTIF($B$2:B2000,'🎯 一鍵查詢'!$C$5),"")</f>
        <v/>
      </c>
    </row>
    <row r="2001">
      <c r="A2001" t="n">
        <v>80341</v>
      </c>
      <c r="B2001" t="n">
        <v>8034</v>
      </c>
      <c r="C2001">
        <f>IF(B2001='🎯 一鍵查詢'!$C$5,COUNTIF($B$2:B2001,'🎯 一鍵查詢'!$C$5),"")</f>
        <v/>
      </c>
    </row>
    <row r="2002">
      <c r="A2002" t="n">
        <v>80381</v>
      </c>
      <c r="B2002" t="n">
        <v>8038</v>
      </c>
      <c r="C2002">
        <f>IF(B2002='🎯 一鍵查詢'!$C$5,COUNTIF($B$2:B2002,'🎯 一鍵查詢'!$C$5),"")</f>
        <v/>
      </c>
    </row>
    <row r="2003">
      <c r="A2003" t="n">
        <v>80391</v>
      </c>
      <c r="B2003" t="n">
        <v>8039</v>
      </c>
      <c r="C2003">
        <f>IF(B2003='🎯 一鍵查詢'!$C$5,COUNTIF($B$2:B2003,'🎯 一鍵查詢'!$C$5),"")</f>
        <v/>
      </c>
    </row>
    <row r="2004">
      <c r="A2004" t="n">
        <v>80392</v>
      </c>
      <c r="B2004" t="n">
        <v>8039</v>
      </c>
      <c r="C2004">
        <f>IF(B2004='🎯 一鍵查詢'!$C$5,COUNTIF($B$2:B2004,'🎯 一鍵查詢'!$C$5),"")</f>
        <v/>
      </c>
    </row>
    <row r="2005">
      <c r="A2005" t="n">
        <v>80421</v>
      </c>
      <c r="B2005" t="n">
        <v>8042</v>
      </c>
      <c r="C2005">
        <f>IF(B2005='🎯 一鍵查詢'!$C$5,COUNTIF($B$2:B2005,'🎯 一鍵查詢'!$C$5),"")</f>
        <v/>
      </c>
    </row>
    <row r="2006">
      <c r="A2006" t="n">
        <v>80422</v>
      </c>
      <c r="B2006" t="n">
        <v>8042</v>
      </c>
      <c r="C2006">
        <f>IF(B2006='🎯 一鍵查詢'!$C$5,COUNTIF($B$2:B2006,'🎯 一鍵查詢'!$C$5),"")</f>
        <v/>
      </c>
    </row>
    <row r="2007">
      <c r="A2007" t="n">
        <v>80423</v>
      </c>
      <c r="B2007" t="n">
        <v>8042</v>
      </c>
      <c r="C2007">
        <f>IF(B2007='🎯 一鍵查詢'!$C$5,COUNTIF($B$2:B2007,'🎯 一鍵查詢'!$C$5),"")</f>
        <v/>
      </c>
    </row>
    <row r="2008">
      <c r="A2008" t="n">
        <v>80424</v>
      </c>
      <c r="B2008" t="n">
        <v>8042</v>
      </c>
      <c r="C2008">
        <f>IF(B2008='🎯 一鍵查詢'!$C$5,COUNTIF($B$2:B2008,'🎯 一鍵查詢'!$C$5),"")</f>
        <v/>
      </c>
    </row>
    <row r="2009">
      <c r="A2009" t="n">
        <v>80425</v>
      </c>
      <c r="B2009" t="n">
        <v>8042</v>
      </c>
      <c r="C2009">
        <f>IF(B2009='🎯 一鍵查詢'!$C$5,COUNTIF($B$2:B2009,'🎯 一鍵查詢'!$C$5),"")</f>
        <v/>
      </c>
    </row>
    <row r="2010">
      <c r="A2010" t="n">
        <v>80426</v>
      </c>
      <c r="B2010" t="n">
        <v>8042</v>
      </c>
      <c r="C2010">
        <f>IF(B2010='🎯 一鍵查詢'!$C$5,COUNTIF($B$2:B2010,'🎯 一鍵查詢'!$C$5),"")</f>
        <v/>
      </c>
    </row>
    <row r="2011">
      <c r="A2011" t="n">
        <v>80431</v>
      </c>
      <c r="B2011" t="n">
        <v>8043</v>
      </c>
      <c r="C2011">
        <f>IF(B2011='🎯 一鍵查詢'!$C$5,COUNTIF($B$2:B2011,'🎯 一鍵查詢'!$C$5),"")</f>
        <v/>
      </c>
    </row>
    <row r="2012">
      <c r="A2012" t="n">
        <v>80441</v>
      </c>
      <c r="B2012" t="n">
        <v>8044</v>
      </c>
      <c r="C2012">
        <f>IF(B2012='🎯 一鍵查詢'!$C$5,COUNTIF($B$2:B2012,'🎯 一鍵查詢'!$C$5),"")</f>
        <v/>
      </c>
    </row>
    <row r="2013">
      <c r="A2013" t="n">
        <v>80491</v>
      </c>
      <c r="B2013" t="n">
        <v>8049</v>
      </c>
      <c r="C2013">
        <f>IF(B2013='🎯 一鍵查詢'!$C$5,COUNTIF($B$2:B2013,'🎯 一鍵查詢'!$C$5),"")</f>
        <v/>
      </c>
    </row>
    <row r="2014">
      <c r="A2014" t="n">
        <v>80492</v>
      </c>
      <c r="B2014" t="n">
        <v>8049</v>
      </c>
      <c r="C2014">
        <f>IF(B2014='🎯 一鍵查詢'!$C$5,COUNTIF($B$2:B2014,'🎯 一鍵查詢'!$C$5),"")</f>
        <v/>
      </c>
    </row>
    <row r="2015">
      <c r="A2015" t="n">
        <v>80493</v>
      </c>
      <c r="B2015" t="n">
        <v>8049</v>
      </c>
      <c r="C2015">
        <f>IF(B2015='🎯 一鍵查詢'!$C$5,COUNTIF($B$2:B2015,'🎯 一鍵查詢'!$C$5),"")</f>
        <v/>
      </c>
    </row>
    <row r="2016">
      <c r="A2016" t="n">
        <v>80501</v>
      </c>
      <c r="B2016" t="n">
        <v>8050</v>
      </c>
      <c r="C2016">
        <f>IF(B2016='🎯 一鍵查詢'!$C$5,COUNTIF($B$2:B2016,'🎯 一鍵查詢'!$C$5),"")</f>
        <v/>
      </c>
    </row>
    <row r="2017">
      <c r="A2017" t="n">
        <v>80502</v>
      </c>
      <c r="B2017" t="n">
        <v>8050</v>
      </c>
      <c r="C2017">
        <f>IF(B2017='🎯 一鍵查詢'!$C$5,COUNTIF($B$2:B2017,'🎯 一鍵查詢'!$C$5),"")</f>
        <v/>
      </c>
    </row>
    <row r="2018">
      <c r="A2018" t="n">
        <v>80503</v>
      </c>
      <c r="B2018" t="n">
        <v>8050</v>
      </c>
      <c r="C2018">
        <f>IF(B2018='🎯 一鍵查詢'!$C$5,COUNTIF($B$2:B2018,'🎯 一鍵查詢'!$C$5),"")</f>
        <v/>
      </c>
    </row>
    <row r="2019">
      <c r="A2019" t="n">
        <v>80504</v>
      </c>
      <c r="B2019" t="n">
        <v>8050</v>
      </c>
      <c r="C2019">
        <f>IF(B2019='🎯 一鍵查詢'!$C$5,COUNTIF($B$2:B2019,'🎯 一鍵查詢'!$C$5),"")</f>
        <v/>
      </c>
    </row>
    <row r="2020">
      <c r="A2020" t="n">
        <v>80505</v>
      </c>
      <c r="B2020" t="n">
        <v>8050</v>
      </c>
      <c r="C2020">
        <f>IF(B2020='🎯 一鍵查詢'!$C$5,COUNTIF($B$2:B2020,'🎯 一鍵查詢'!$C$5),"")</f>
        <v/>
      </c>
    </row>
    <row r="2021">
      <c r="A2021" t="n">
        <v>80506</v>
      </c>
      <c r="B2021" t="n">
        <v>8050</v>
      </c>
      <c r="C2021">
        <f>IF(B2021='🎯 一鍵查詢'!$C$5,COUNTIF($B$2:B2021,'🎯 一鍵查詢'!$C$5),"")</f>
        <v/>
      </c>
    </row>
    <row r="2022">
      <c r="A2022" t="n">
        <v>80661</v>
      </c>
      <c r="B2022" t="n">
        <v>8066</v>
      </c>
      <c r="C2022">
        <f>IF(B2022='🎯 一鍵查詢'!$C$5,COUNTIF($B$2:B2022,'🎯 一鍵查詢'!$C$5),"")</f>
        <v/>
      </c>
    </row>
    <row r="2023">
      <c r="A2023" t="n">
        <v>80671</v>
      </c>
      <c r="B2023" t="n">
        <v>8067</v>
      </c>
      <c r="C2023">
        <f>IF(B2023='🎯 一鍵查詢'!$C$5,COUNTIF($B$2:B2023,'🎯 一鍵查詢'!$C$5),"")</f>
        <v/>
      </c>
    </row>
    <row r="2024">
      <c r="A2024" t="n">
        <v>80691</v>
      </c>
      <c r="B2024" t="n">
        <v>8069</v>
      </c>
      <c r="C2024">
        <f>IF(B2024='🎯 一鍵查詢'!$C$5,COUNTIF($B$2:B2024,'🎯 一鍵查詢'!$C$5),"")</f>
        <v/>
      </c>
    </row>
    <row r="2025">
      <c r="A2025" t="n">
        <v>80692</v>
      </c>
      <c r="B2025" t="n">
        <v>8069</v>
      </c>
      <c r="C2025">
        <f>IF(B2025='🎯 一鍵查詢'!$C$5,COUNTIF($B$2:B2025,'🎯 一鍵查詢'!$C$5),"")</f>
        <v/>
      </c>
    </row>
    <row r="2026">
      <c r="A2026" t="n">
        <v>80701</v>
      </c>
      <c r="B2026" t="n">
        <v>8070</v>
      </c>
      <c r="C2026">
        <f>IF(B2026='🎯 一鍵查詢'!$C$5,COUNTIF($B$2:B2026,'🎯 一鍵查詢'!$C$5),"")</f>
        <v/>
      </c>
    </row>
    <row r="2027">
      <c r="A2027" t="n">
        <v>80702</v>
      </c>
      <c r="B2027" t="n">
        <v>8070</v>
      </c>
      <c r="C2027">
        <f>IF(B2027='🎯 一鍵查詢'!$C$5,COUNTIF($B$2:B2027,'🎯 一鍵查詢'!$C$5),"")</f>
        <v/>
      </c>
    </row>
    <row r="2028">
      <c r="A2028" t="n">
        <v>80703</v>
      </c>
      <c r="B2028" t="n">
        <v>8070</v>
      </c>
      <c r="C2028">
        <f>IF(B2028='🎯 一鍵查詢'!$C$5,COUNTIF($B$2:B2028,'🎯 一鍵查詢'!$C$5),"")</f>
        <v/>
      </c>
    </row>
    <row r="2029">
      <c r="A2029" t="n">
        <v>80704</v>
      </c>
      <c r="B2029" t="n">
        <v>8070</v>
      </c>
      <c r="C2029">
        <f>IF(B2029='🎯 一鍵查詢'!$C$5,COUNTIF($B$2:B2029,'🎯 一鍵查詢'!$C$5),"")</f>
        <v/>
      </c>
    </row>
    <row r="2030">
      <c r="A2030" t="n">
        <v>80705</v>
      </c>
      <c r="B2030" t="n">
        <v>8070</v>
      </c>
      <c r="C2030">
        <f>IF(B2030='🎯 一鍵查詢'!$C$5,COUNTIF($B$2:B2030,'🎯 一鍵查詢'!$C$5),"")</f>
        <v/>
      </c>
    </row>
    <row r="2031">
      <c r="A2031" t="n">
        <v>80711</v>
      </c>
      <c r="B2031" t="n">
        <v>8071</v>
      </c>
      <c r="C2031">
        <f>IF(B2031='🎯 一鍵查詢'!$C$5,COUNTIF($B$2:B2031,'🎯 一鍵查詢'!$C$5),"")</f>
        <v/>
      </c>
    </row>
    <row r="2032">
      <c r="A2032" t="n">
        <v>80741</v>
      </c>
      <c r="B2032" t="n">
        <v>8074</v>
      </c>
      <c r="C2032">
        <f>IF(B2032='🎯 一鍵查詢'!$C$5,COUNTIF($B$2:B2032,'🎯 一鍵查詢'!$C$5),"")</f>
        <v/>
      </c>
    </row>
    <row r="2033">
      <c r="A2033" t="n">
        <v>80742</v>
      </c>
      <c r="B2033" t="n">
        <v>8074</v>
      </c>
      <c r="C2033">
        <f>IF(B2033='🎯 一鍵查詢'!$C$5,COUNTIF($B$2:B2033,'🎯 一鍵查詢'!$C$5),"")</f>
        <v/>
      </c>
    </row>
    <row r="2034">
      <c r="A2034" t="n">
        <v>80743</v>
      </c>
      <c r="B2034" t="n">
        <v>8074</v>
      </c>
      <c r="C2034">
        <f>IF(B2034='🎯 一鍵查詢'!$C$5,COUNTIF($B$2:B2034,'🎯 一鍵查詢'!$C$5),"")</f>
        <v/>
      </c>
    </row>
    <row r="2035">
      <c r="A2035" t="n">
        <v>80744</v>
      </c>
      <c r="B2035" t="n">
        <v>8074</v>
      </c>
      <c r="C2035">
        <f>IF(B2035='🎯 一鍵查詢'!$C$5,COUNTIF($B$2:B2035,'🎯 一鍵查詢'!$C$5),"")</f>
        <v/>
      </c>
    </row>
    <row r="2036">
      <c r="A2036" t="n">
        <v>80745</v>
      </c>
      <c r="B2036" t="n">
        <v>8074</v>
      </c>
      <c r="C2036">
        <f>IF(B2036='🎯 一鍵查詢'!$C$5,COUNTIF($B$2:B2036,'🎯 一鍵查詢'!$C$5),"")</f>
        <v/>
      </c>
    </row>
    <row r="2037">
      <c r="A2037" t="n">
        <v>80761</v>
      </c>
      <c r="B2037" t="n">
        <v>8076</v>
      </c>
      <c r="C2037">
        <f>IF(B2037='🎯 一鍵查詢'!$C$5,COUNTIF($B$2:B2037,'🎯 一鍵查詢'!$C$5),"")</f>
        <v/>
      </c>
    </row>
    <row r="2038">
      <c r="A2038" t="n">
        <v>80762</v>
      </c>
      <c r="B2038" t="n">
        <v>8076</v>
      </c>
      <c r="C2038">
        <f>IF(B2038='🎯 一鍵查詢'!$C$5,COUNTIF($B$2:B2038,'🎯 一鍵查詢'!$C$5),"")</f>
        <v/>
      </c>
    </row>
    <row r="2039">
      <c r="A2039" t="n">
        <v>80763</v>
      </c>
      <c r="B2039" t="n">
        <v>8076</v>
      </c>
      <c r="C2039">
        <f>IF(B2039='🎯 一鍵查詢'!$C$5,COUNTIF($B$2:B2039,'🎯 一鍵查詢'!$C$5),"")</f>
        <v/>
      </c>
    </row>
    <row r="2040">
      <c r="A2040" t="n">
        <v>80764</v>
      </c>
      <c r="B2040" t="n">
        <v>8076</v>
      </c>
      <c r="C2040">
        <f>IF(B2040='🎯 一鍵查詢'!$C$5,COUNTIF($B$2:B2040,'🎯 一鍵查詢'!$C$5),"")</f>
        <v/>
      </c>
    </row>
    <row r="2041">
      <c r="A2041" t="n">
        <v>80771</v>
      </c>
      <c r="B2041" t="n">
        <v>8077</v>
      </c>
      <c r="C2041">
        <f>IF(B2041='🎯 一鍵查詢'!$C$5,COUNTIF($B$2:B2041,'🎯 一鍵查詢'!$C$5),"")</f>
        <v/>
      </c>
    </row>
    <row r="2042">
      <c r="A2042" t="n">
        <v>80791</v>
      </c>
      <c r="B2042" t="n">
        <v>8079</v>
      </c>
      <c r="C2042">
        <f>IF(B2042='🎯 一鍵查詢'!$C$5,COUNTIF($B$2:B2042,'🎯 一鍵查詢'!$C$5),"")</f>
        <v/>
      </c>
    </row>
    <row r="2043">
      <c r="A2043" t="n">
        <v>80792</v>
      </c>
      <c r="B2043" t="n">
        <v>8079</v>
      </c>
      <c r="C2043">
        <f>IF(B2043='🎯 一鍵查詢'!$C$5,COUNTIF($B$2:B2043,'🎯 一鍵查詢'!$C$5),"")</f>
        <v/>
      </c>
    </row>
    <row r="2044">
      <c r="A2044" t="n">
        <v>80821</v>
      </c>
      <c r="B2044" t="n">
        <v>8082</v>
      </c>
      <c r="C2044">
        <f>IF(B2044='🎯 一鍵查詢'!$C$5,COUNTIF($B$2:B2044,'🎯 一鍵查詢'!$C$5),"")</f>
        <v/>
      </c>
    </row>
    <row r="2045">
      <c r="A2045" t="n">
        <v>80822</v>
      </c>
      <c r="B2045" t="n">
        <v>8082</v>
      </c>
      <c r="C2045">
        <f>IF(B2045='🎯 一鍵查詢'!$C$5,COUNTIF($B$2:B2045,'🎯 一鍵查詢'!$C$5),"")</f>
        <v/>
      </c>
    </row>
    <row r="2046">
      <c r="A2046" t="n">
        <v>80823</v>
      </c>
      <c r="B2046" t="n">
        <v>8082</v>
      </c>
      <c r="C2046">
        <f>IF(B2046='🎯 一鍵查詢'!$C$5,COUNTIF($B$2:B2046,'🎯 一鍵查詢'!$C$5),"")</f>
        <v/>
      </c>
    </row>
    <row r="2047">
      <c r="A2047" t="n">
        <v>80841</v>
      </c>
      <c r="B2047" t="n">
        <v>8084</v>
      </c>
      <c r="C2047">
        <f>IF(B2047='🎯 一鍵查詢'!$C$5,COUNTIF($B$2:B2047,'🎯 一鍵查詢'!$C$5),"")</f>
        <v/>
      </c>
    </row>
    <row r="2048">
      <c r="A2048" t="n">
        <v>80851</v>
      </c>
      <c r="B2048" t="n">
        <v>8085</v>
      </c>
      <c r="C2048">
        <f>IF(B2048='🎯 一鍵查詢'!$C$5,COUNTIF($B$2:B2048,'🎯 一鍵查詢'!$C$5),"")</f>
        <v/>
      </c>
    </row>
    <row r="2049">
      <c r="A2049" t="n">
        <v>80852</v>
      </c>
      <c r="B2049" t="n">
        <v>8085</v>
      </c>
      <c r="C2049">
        <f>IF(B2049='🎯 一鍵查詢'!$C$5,COUNTIF($B$2:B2049,'🎯 一鍵查詢'!$C$5),"")</f>
        <v/>
      </c>
    </row>
    <row r="2050">
      <c r="A2050" t="n">
        <v>80871</v>
      </c>
      <c r="B2050" t="n">
        <v>8087</v>
      </c>
      <c r="C2050">
        <f>IF(B2050='🎯 一鍵查詢'!$C$5,COUNTIF($B$2:B2050,'🎯 一鍵查詢'!$C$5),"")</f>
        <v/>
      </c>
    </row>
    <row r="2051">
      <c r="A2051" t="n">
        <v>80872</v>
      </c>
      <c r="B2051" t="n">
        <v>8087</v>
      </c>
      <c r="C2051">
        <f>IF(B2051='🎯 一鍵查詢'!$C$5,COUNTIF($B$2:B2051,'🎯 一鍵查詢'!$C$5),"")</f>
        <v/>
      </c>
    </row>
    <row r="2052">
      <c r="A2052" t="n">
        <v>80881</v>
      </c>
      <c r="B2052" t="n">
        <v>8088</v>
      </c>
      <c r="C2052">
        <f>IF(B2052='🎯 一鍵查詢'!$C$5,COUNTIF($B$2:B2052,'🎯 一鍵查詢'!$C$5),"")</f>
        <v/>
      </c>
    </row>
    <row r="2053">
      <c r="A2053" t="n">
        <v>80882</v>
      </c>
      <c r="B2053" t="n">
        <v>8088</v>
      </c>
      <c r="C2053">
        <f>IF(B2053='🎯 一鍵查詢'!$C$5,COUNTIF($B$2:B2053,'🎯 一鍵查詢'!$C$5),"")</f>
        <v/>
      </c>
    </row>
    <row r="2054">
      <c r="A2054" t="n">
        <v>80911</v>
      </c>
      <c r="B2054" t="n">
        <v>8091</v>
      </c>
      <c r="C2054">
        <f>IF(B2054='🎯 一鍵查詢'!$C$5,COUNTIF($B$2:B2054,'🎯 一鍵查詢'!$C$5),"")</f>
        <v/>
      </c>
    </row>
    <row r="2055">
      <c r="A2055" t="n">
        <v>80912</v>
      </c>
      <c r="B2055" t="n">
        <v>8091</v>
      </c>
      <c r="C2055">
        <f>IF(B2055='🎯 一鍵查詢'!$C$5,COUNTIF($B$2:B2055,'🎯 一鍵查詢'!$C$5),"")</f>
        <v/>
      </c>
    </row>
    <row r="2056">
      <c r="A2056" t="n">
        <v>80913</v>
      </c>
      <c r="B2056" t="n">
        <v>8091</v>
      </c>
      <c r="C2056">
        <f>IF(B2056='🎯 一鍵查詢'!$C$5,COUNTIF($B$2:B2056,'🎯 一鍵查詢'!$C$5),"")</f>
        <v/>
      </c>
    </row>
    <row r="2057">
      <c r="A2057" t="n">
        <v>80914</v>
      </c>
      <c r="B2057" t="n">
        <v>8091</v>
      </c>
      <c r="C2057">
        <f>IF(B2057='🎯 一鍵查詢'!$C$5,COUNTIF($B$2:B2057,'🎯 一鍵查詢'!$C$5),"")</f>
        <v/>
      </c>
    </row>
    <row r="2058">
      <c r="A2058" t="n">
        <v>80921</v>
      </c>
      <c r="B2058" t="n">
        <v>8092</v>
      </c>
      <c r="C2058">
        <f>IF(B2058='🎯 一鍵查詢'!$C$5,COUNTIF($B$2:B2058,'🎯 一鍵查詢'!$C$5),"")</f>
        <v/>
      </c>
    </row>
    <row r="2059">
      <c r="A2059" t="n">
        <v>80922</v>
      </c>
      <c r="B2059" t="n">
        <v>8092</v>
      </c>
      <c r="C2059">
        <f>IF(B2059='🎯 一鍵查詢'!$C$5,COUNTIF($B$2:B2059,'🎯 一鍵查詢'!$C$5),"")</f>
        <v/>
      </c>
    </row>
    <row r="2060">
      <c r="A2060" t="n">
        <v>80923</v>
      </c>
      <c r="B2060" t="n">
        <v>8092</v>
      </c>
      <c r="C2060">
        <f>IF(B2060='🎯 一鍵查詢'!$C$5,COUNTIF($B$2:B2060,'🎯 一鍵查詢'!$C$5),"")</f>
        <v/>
      </c>
    </row>
    <row r="2061">
      <c r="A2061" t="n">
        <v>80924</v>
      </c>
      <c r="B2061" t="n">
        <v>8092</v>
      </c>
      <c r="C2061">
        <f>IF(B2061='🎯 一鍵查詢'!$C$5,COUNTIF($B$2:B2061,'🎯 一鍵查詢'!$C$5),"")</f>
        <v/>
      </c>
    </row>
    <row r="2062">
      <c r="A2062" t="n">
        <v>80961</v>
      </c>
      <c r="B2062" t="n">
        <v>8096</v>
      </c>
      <c r="C2062">
        <f>IF(B2062='🎯 一鍵查詢'!$C$5,COUNTIF($B$2:B2062,'🎯 一鍵查詢'!$C$5),"")</f>
        <v/>
      </c>
    </row>
    <row r="2063">
      <c r="A2063" t="n">
        <v>80971</v>
      </c>
      <c r="B2063" t="n">
        <v>8097</v>
      </c>
      <c r="C2063">
        <f>IF(B2063='🎯 一鍵查詢'!$C$5,COUNTIF($B$2:B2063,'🎯 一鍵查詢'!$C$5),"")</f>
        <v/>
      </c>
    </row>
    <row r="2064">
      <c r="A2064" t="n">
        <v>80972</v>
      </c>
      <c r="B2064" t="n">
        <v>8097</v>
      </c>
      <c r="C2064">
        <f>IF(B2064='🎯 一鍵查詢'!$C$5,COUNTIF($B$2:B2064,'🎯 一鍵查詢'!$C$5),"")</f>
        <v/>
      </c>
    </row>
    <row r="2065">
      <c r="A2065" t="n">
        <v>81011</v>
      </c>
      <c r="B2065" t="n">
        <v>8101</v>
      </c>
      <c r="C2065">
        <f>IF(B2065='🎯 一鍵查詢'!$C$5,COUNTIF($B$2:B2065,'🎯 一鍵查詢'!$C$5),"")</f>
        <v/>
      </c>
    </row>
    <row r="2066">
      <c r="A2066" t="n">
        <v>81031</v>
      </c>
      <c r="B2066" t="n">
        <v>8103</v>
      </c>
      <c r="C2066">
        <f>IF(B2066='🎯 一鍵查詢'!$C$5,COUNTIF($B$2:B2066,'🎯 一鍵查詢'!$C$5),"")</f>
        <v/>
      </c>
    </row>
    <row r="2067">
      <c r="A2067" t="n">
        <v>81032</v>
      </c>
      <c r="B2067" t="n">
        <v>8103</v>
      </c>
      <c r="C2067">
        <f>IF(B2067='🎯 一鍵查詢'!$C$5,COUNTIF($B$2:B2067,'🎯 一鍵查詢'!$C$5),"")</f>
        <v/>
      </c>
    </row>
    <row r="2068">
      <c r="A2068" t="n">
        <v>81033</v>
      </c>
      <c r="B2068" t="n">
        <v>8103</v>
      </c>
      <c r="C2068">
        <f>IF(B2068='🎯 一鍵查詢'!$C$5,COUNTIF($B$2:B2068,'🎯 一鍵查詢'!$C$5),"")</f>
        <v/>
      </c>
    </row>
    <row r="2069">
      <c r="A2069" t="n">
        <v>81034</v>
      </c>
      <c r="B2069" t="n">
        <v>8103</v>
      </c>
      <c r="C2069">
        <f>IF(B2069='🎯 一鍵查詢'!$C$5,COUNTIF($B$2:B2069,'🎯 一鍵查詢'!$C$5),"")</f>
        <v/>
      </c>
    </row>
    <row r="2070">
      <c r="A2070" t="n">
        <v>81041</v>
      </c>
      <c r="B2070" t="n">
        <v>8104</v>
      </c>
      <c r="C2070">
        <f>IF(B2070='🎯 一鍵查詢'!$C$5,COUNTIF($B$2:B2070,'🎯 一鍵查詢'!$C$5),"")</f>
        <v/>
      </c>
    </row>
    <row r="2071">
      <c r="A2071" t="n">
        <v>81042</v>
      </c>
      <c r="B2071" t="n">
        <v>8104</v>
      </c>
      <c r="C2071">
        <f>IF(B2071='🎯 一鍵查詢'!$C$5,COUNTIF($B$2:B2071,'🎯 一鍵查詢'!$C$5),"")</f>
        <v/>
      </c>
    </row>
    <row r="2072">
      <c r="A2072" t="n">
        <v>81051</v>
      </c>
      <c r="B2072" t="n">
        <v>8105</v>
      </c>
      <c r="C2072">
        <f>IF(B2072='🎯 一鍵查詢'!$C$5,COUNTIF($B$2:B2072,'🎯 一鍵查詢'!$C$5),"")</f>
        <v/>
      </c>
    </row>
    <row r="2073">
      <c r="A2073" t="n">
        <v>81052</v>
      </c>
      <c r="B2073" t="n">
        <v>8105</v>
      </c>
      <c r="C2073">
        <f>IF(B2073='🎯 一鍵查詢'!$C$5,COUNTIF($B$2:B2073,'🎯 一鍵查詢'!$C$5),"")</f>
        <v/>
      </c>
    </row>
    <row r="2074">
      <c r="A2074" t="n">
        <v>81071</v>
      </c>
      <c r="B2074" t="n">
        <v>8107</v>
      </c>
      <c r="C2074">
        <f>IF(B2074='🎯 一鍵查詢'!$C$5,COUNTIF($B$2:B2074,'🎯 一鍵查詢'!$C$5),"")</f>
        <v/>
      </c>
    </row>
    <row r="2075">
      <c r="A2075" t="n">
        <v>81072</v>
      </c>
      <c r="B2075" t="n">
        <v>8107</v>
      </c>
      <c r="C2075">
        <f>IF(B2075='🎯 一鍵查詢'!$C$5,COUNTIF($B$2:B2075,'🎯 一鍵查詢'!$C$5),"")</f>
        <v/>
      </c>
    </row>
    <row r="2076">
      <c r="A2076" t="n">
        <v>81073</v>
      </c>
      <c r="B2076" t="n">
        <v>8107</v>
      </c>
      <c r="C2076">
        <f>IF(B2076='🎯 一鍵查詢'!$C$5,COUNTIF($B$2:B2076,'🎯 一鍵查詢'!$C$5),"")</f>
        <v/>
      </c>
    </row>
    <row r="2077">
      <c r="A2077" t="n">
        <v>81091</v>
      </c>
      <c r="B2077" t="n">
        <v>8109</v>
      </c>
      <c r="C2077">
        <f>IF(B2077='🎯 一鍵查詢'!$C$5,COUNTIF($B$2:B2077,'🎯 一鍵查詢'!$C$5),"")</f>
        <v/>
      </c>
    </row>
    <row r="2078">
      <c r="A2078" t="n">
        <v>81101</v>
      </c>
      <c r="B2078" t="n">
        <v>8110</v>
      </c>
      <c r="C2078">
        <f>IF(B2078='🎯 一鍵查詢'!$C$5,COUNTIF($B$2:B2078,'🎯 一鍵查詢'!$C$5),"")</f>
        <v/>
      </c>
    </row>
    <row r="2079">
      <c r="A2079" t="n">
        <v>81102</v>
      </c>
      <c r="B2079" t="n">
        <v>8110</v>
      </c>
      <c r="C2079">
        <f>IF(B2079='🎯 一鍵查詢'!$C$5,COUNTIF($B$2:B2079,'🎯 一鍵查詢'!$C$5),"")</f>
        <v/>
      </c>
    </row>
    <row r="2080">
      <c r="A2080" t="n">
        <v>81111</v>
      </c>
      <c r="B2080" t="n">
        <v>8111</v>
      </c>
      <c r="C2080">
        <f>IF(B2080='🎯 一鍵查詢'!$C$5,COUNTIF($B$2:B2080,'🎯 一鍵查詢'!$C$5),"")</f>
        <v/>
      </c>
    </row>
    <row r="2081">
      <c r="A2081" t="n">
        <v>81112</v>
      </c>
      <c r="B2081" t="n">
        <v>8111</v>
      </c>
      <c r="C2081">
        <f>IF(B2081='🎯 一鍵查詢'!$C$5,COUNTIF($B$2:B2081,'🎯 一鍵查詢'!$C$5),"")</f>
        <v/>
      </c>
    </row>
    <row r="2082">
      <c r="A2082" t="n">
        <v>81113</v>
      </c>
      <c r="B2082" t="n">
        <v>8111</v>
      </c>
      <c r="C2082">
        <f>IF(B2082='🎯 一鍵查詢'!$C$5,COUNTIF($B$2:B2082,'🎯 一鍵查詢'!$C$5),"")</f>
        <v/>
      </c>
    </row>
    <row r="2083">
      <c r="A2083" t="n">
        <v>81121</v>
      </c>
      <c r="B2083" t="n">
        <v>8112</v>
      </c>
      <c r="C2083">
        <f>IF(B2083='🎯 一鍵查詢'!$C$5,COUNTIF($B$2:B2083,'🎯 一鍵查詢'!$C$5),"")</f>
        <v/>
      </c>
    </row>
    <row r="2084">
      <c r="A2084" t="n">
        <v>81122</v>
      </c>
      <c r="B2084" t="n">
        <v>8112</v>
      </c>
      <c r="C2084">
        <f>IF(B2084='🎯 一鍵查詢'!$C$5,COUNTIF($B$2:B2084,'🎯 一鍵查詢'!$C$5),"")</f>
        <v/>
      </c>
    </row>
    <row r="2085">
      <c r="A2085" t="n">
        <v>81123</v>
      </c>
      <c r="B2085" t="n">
        <v>8112</v>
      </c>
      <c r="C2085">
        <f>IF(B2085='🎯 一鍵查詢'!$C$5,COUNTIF($B$2:B2085,'🎯 一鍵查詢'!$C$5),"")</f>
        <v/>
      </c>
    </row>
    <row r="2086">
      <c r="A2086" t="n">
        <v>81124</v>
      </c>
      <c r="B2086" t="n">
        <v>8112</v>
      </c>
      <c r="C2086">
        <f>IF(B2086='🎯 一鍵查詢'!$C$5,COUNTIF($B$2:B2086,'🎯 一鍵查詢'!$C$5),"")</f>
        <v/>
      </c>
    </row>
    <row r="2087">
      <c r="A2087" t="n">
        <v>81125</v>
      </c>
      <c r="B2087" t="n">
        <v>8112</v>
      </c>
      <c r="C2087">
        <f>IF(B2087='🎯 一鍵查詢'!$C$5,COUNTIF($B$2:B2087,'🎯 一鍵查詢'!$C$5),"")</f>
        <v/>
      </c>
    </row>
    <row r="2088">
      <c r="A2088" t="n">
        <v>81126</v>
      </c>
      <c r="B2088" t="n">
        <v>8112</v>
      </c>
      <c r="C2088">
        <f>IF(B2088='🎯 一鍵查詢'!$C$5,COUNTIF($B$2:B2088,'🎯 一鍵查詢'!$C$5),"")</f>
        <v/>
      </c>
    </row>
    <row r="2089">
      <c r="A2089" t="n">
        <v>81127</v>
      </c>
      <c r="B2089" t="n">
        <v>8112</v>
      </c>
      <c r="C2089">
        <f>IF(B2089='🎯 一鍵查詢'!$C$5,COUNTIF($B$2:B2089,'🎯 一鍵查詢'!$C$5),"")</f>
        <v/>
      </c>
    </row>
    <row r="2090">
      <c r="A2090" t="n">
        <v>81128</v>
      </c>
      <c r="B2090" t="n">
        <v>8112</v>
      </c>
      <c r="C2090">
        <f>IF(B2090='🎯 一鍵查詢'!$C$5,COUNTIF($B$2:B2090,'🎯 一鍵查詢'!$C$5),"")</f>
        <v/>
      </c>
    </row>
    <row r="2091">
      <c r="A2091" t="n">
        <v>81129</v>
      </c>
      <c r="B2091" t="n">
        <v>8112</v>
      </c>
      <c r="C2091">
        <f>IF(B2091='🎯 一鍵查詢'!$C$5,COUNTIF($B$2:B2091,'🎯 一鍵查詢'!$C$5),"")</f>
        <v/>
      </c>
    </row>
    <row r="2092">
      <c r="A2092" t="n">
        <v>81141</v>
      </c>
      <c r="B2092" t="n">
        <v>8114</v>
      </c>
      <c r="C2092">
        <f>IF(B2092='🎯 一鍵查詢'!$C$5,COUNTIF($B$2:B2092,'🎯 一鍵查詢'!$C$5),"")</f>
        <v/>
      </c>
    </row>
    <row r="2093">
      <c r="A2093" t="n">
        <v>81142</v>
      </c>
      <c r="B2093" t="n">
        <v>8114</v>
      </c>
      <c r="C2093">
        <f>IF(B2093='🎯 一鍵查詢'!$C$5,COUNTIF($B$2:B2093,'🎯 一鍵查詢'!$C$5),"")</f>
        <v/>
      </c>
    </row>
    <row r="2094">
      <c r="A2094" t="n">
        <v>81471</v>
      </c>
      <c r="B2094" t="n">
        <v>8147</v>
      </c>
      <c r="C2094">
        <f>IF(B2094='🎯 一鍵查詢'!$C$5,COUNTIF($B$2:B2094,'🎯 一鍵查詢'!$C$5),"")</f>
        <v/>
      </c>
    </row>
    <row r="2095">
      <c r="A2095" t="n">
        <v>81472</v>
      </c>
      <c r="B2095" t="n">
        <v>8147</v>
      </c>
      <c r="C2095">
        <f>IF(B2095='🎯 一鍵查詢'!$C$5,COUNTIF($B$2:B2095,'🎯 一鍵查詢'!$C$5),"")</f>
        <v/>
      </c>
    </row>
    <row r="2096">
      <c r="A2096" t="n">
        <v>81473</v>
      </c>
      <c r="B2096" t="n">
        <v>8147</v>
      </c>
      <c r="C2096">
        <f>IF(B2096='🎯 一鍵查詢'!$C$5,COUNTIF($B$2:B2096,'🎯 一鍵查詢'!$C$5),"")</f>
        <v/>
      </c>
    </row>
    <row r="2097">
      <c r="A2097" t="n">
        <v>81551</v>
      </c>
      <c r="B2097" t="n">
        <v>8155</v>
      </c>
      <c r="C2097">
        <f>IF(B2097='🎯 一鍵查詢'!$C$5,COUNTIF($B$2:B2097,'🎯 一鍵查詢'!$C$5),"")</f>
        <v/>
      </c>
    </row>
    <row r="2098">
      <c r="A2098" t="n">
        <v>81711</v>
      </c>
      <c r="B2098" t="n">
        <v>8171</v>
      </c>
      <c r="C2098">
        <f>IF(B2098='🎯 一鍵查詢'!$C$5,COUNTIF($B$2:B2098,'🎯 一鍵查詢'!$C$5),"")</f>
        <v/>
      </c>
    </row>
    <row r="2099">
      <c r="A2099" t="n">
        <v>81712</v>
      </c>
      <c r="B2099" t="n">
        <v>8171</v>
      </c>
      <c r="C2099">
        <f>IF(B2099='🎯 一鍵查詢'!$C$5,COUNTIF($B$2:B2099,'🎯 一鍵查詢'!$C$5),"")</f>
        <v/>
      </c>
    </row>
    <row r="2100">
      <c r="A2100" t="n">
        <v>81713</v>
      </c>
      <c r="B2100" t="n">
        <v>8171</v>
      </c>
      <c r="C2100">
        <f>IF(B2100='🎯 一鍵查詢'!$C$5,COUNTIF($B$2:B2100,'🎯 一鍵查詢'!$C$5),"")</f>
        <v/>
      </c>
    </row>
    <row r="2101">
      <c r="A2101" t="n">
        <v>81714</v>
      </c>
      <c r="B2101" t="n">
        <v>8171</v>
      </c>
      <c r="C2101">
        <f>IF(B2101='🎯 一鍵查詢'!$C$5,COUNTIF($B$2:B2101,'🎯 一鍵查詢'!$C$5),"")</f>
        <v/>
      </c>
    </row>
    <row r="2102">
      <c r="A2102" t="n">
        <v>81715</v>
      </c>
      <c r="B2102" t="n">
        <v>8171</v>
      </c>
      <c r="C2102">
        <f>IF(B2102='🎯 一鍵查詢'!$C$5,COUNTIF($B$2:B2102,'🎯 一鍵查詢'!$C$5),"")</f>
        <v/>
      </c>
    </row>
    <row r="2103">
      <c r="A2103" t="n">
        <v>82101</v>
      </c>
      <c r="B2103" t="n">
        <v>8210</v>
      </c>
      <c r="C2103">
        <f>IF(B2103='🎯 一鍵查詢'!$C$5,COUNTIF($B$2:B2103,'🎯 一鍵查詢'!$C$5),"")</f>
        <v/>
      </c>
    </row>
    <row r="2104">
      <c r="A2104" t="n">
        <v>82102</v>
      </c>
      <c r="B2104" t="n">
        <v>8210</v>
      </c>
      <c r="C2104">
        <f>IF(B2104='🎯 一鍵查詢'!$C$5,COUNTIF($B$2:B2104,'🎯 一鍵查詢'!$C$5),"")</f>
        <v/>
      </c>
    </row>
    <row r="2105">
      <c r="A2105" t="n">
        <v>82103</v>
      </c>
      <c r="B2105" t="n">
        <v>8210</v>
      </c>
      <c r="C2105">
        <f>IF(B2105='🎯 一鍵查詢'!$C$5,COUNTIF($B$2:B2105,'🎯 一鍵查詢'!$C$5),"")</f>
        <v/>
      </c>
    </row>
    <row r="2106">
      <c r="A2106" t="n">
        <v>82131</v>
      </c>
      <c r="B2106" t="n">
        <v>8213</v>
      </c>
      <c r="C2106">
        <f>IF(B2106='🎯 一鍵查詢'!$C$5,COUNTIF($B$2:B2106,'🎯 一鍵查詢'!$C$5),"")</f>
        <v/>
      </c>
    </row>
    <row r="2107">
      <c r="A2107" t="n">
        <v>82341</v>
      </c>
      <c r="B2107" t="n">
        <v>8234</v>
      </c>
      <c r="C2107">
        <f>IF(B2107='🎯 一鍵查詢'!$C$5,COUNTIF($B$2:B2107,'🎯 一鍵查詢'!$C$5),"")</f>
        <v/>
      </c>
    </row>
    <row r="2108">
      <c r="A2108" t="n">
        <v>82401</v>
      </c>
      <c r="B2108" t="n">
        <v>8240</v>
      </c>
      <c r="C2108">
        <f>IF(B2108='🎯 一鍵查詢'!$C$5,COUNTIF($B$2:B2108,'🎯 一鍵查詢'!$C$5),"")</f>
        <v/>
      </c>
    </row>
    <row r="2109">
      <c r="A2109" t="n">
        <v>82402</v>
      </c>
      <c r="B2109" t="n">
        <v>8240</v>
      </c>
      <c r="C2109">
        <f>IF(B2109='🎯 一鍵查詢'!$C$5,COUNTIF($B$2:B2109,'🎯 一鍵查詢'!$C$5),"")</f>
        <v/>
      </c>
    </row>
    <row r="2110">
      <c r="A2110" t="n">
        <v>82491</v>
      </c>
      <c r="B2110" t="n">
        <v>8249</v>
      </c>
      <c r="C2110">
        <f>IF(B2110='🎯 一鍵查詢'!$C$5,COUNTIF($B$2:B2110,'🎯 一鍵查詢'!$C$5),"")</f>
        <v/>
      </c>
    </row>
    <row r="2111">
      <c r="A2111" t="n">
        <v>82551</v>
      </c>
      <c r="B2111" t="n">
        <v>8255</v>
      </c>
      <c r="C2111">
        <f>IF(B2111='🎯 一鍵查詢'!$C$5,COUNTIF($B$2:B2111,'🎯 一鍵查詢'!$C$5),"")</f>
        <v/>
      </c>
    </row>
    <row r="2112">
      <c r="A2112" t="n">
        <v>82611</v>
      </c>
      <c r="B2112" t="n">
        <v>8261</v>
      </c>
      <c r="C2112">
        <f>IF(B2112='🎯 一鍵查詢'!$C$5,COUNTIF($B$2:B2112,'🎯 一鍵查詢'!$C$5),"")</f>
        <v/>
      </c>
    </row>
    <row r="2113">
      <c r="A2113" t="n">
        <v>82612</v>
      </c>
      <c r="B2113" t="n">
        <v>8261</v>
      </c>
      <c r="C2113">
        <f>IF(B2113='🎯 一鍵查詢'!$C$5,COUNTIF($B$2:B2113,'🎯 一鍵查詢'!$C$5),"")</f>
        <v/>
      </c>
    </row>
    <row r="2114">
      <c r="A2114" t="n">
        <v>82613</v>
      </c>
      <c r="B2114" t="n">
        <v>8261</v>
      </c>
      <c r="C2114">
        <f>IF(B2114='🎯 一鍵查詢'!$C$5,COUNTIF($B$2:B2114,'🎯 一鍵查詢'!$C$5),"")</f>
        <v/>
      </c>
    </row>
    <row r="2115">
      <c r="A2115" t="n">
        <v>82661</v>
      </c>
      <c r="B2115" t="n">
        <v>8266</v>
      </c>
      <c r="C2115">
        <f>IF(B2115='🎯 一鍵查詢'!$C$5,COUNTIF($B$2:B2115,'🎯 一鍵查詢'!$C$5),"")</f>
        <v/>
      </c>
    </row>
    <row r="2116">
      <c r="A2116" t="n">
        <v>82771</v>
      </c>
      <c r="B2116" t="n">
        <v>8277</v>
      </c>
      <c r="C2116">
        <f>IF(B2116='🎯 一鍵查詢'!$C$5,COUNTIF($B$2:B2116,'🎯 一鍵查詢'!$C$5),"")</f>
        <v/>
      </c>
    </row>
    <row r="2117">
      <c r="A2117" t="n">
        <v>82772</v>
      </c>
      <c r="B2117" t="n">
        <v>8277</v>
      </c>
      <c r="C2117">
        <f>IF(B2117='🎯 一鍵查詢'!$C$5,COUNTIF($B$2:B2117,'🎯 一鍵查詢'!$C$5),"")</f>
        <v/>
      </c>
    </row>
    <row r="2118">
      <c r="A2118" t="n">
        <v>82773</v>
      </c>
      <c r="B2118" t="n">
        <v>8277</v>
      </c>
      <c r="C2118">
        <f>IF(B2118='🎯 一鍵查詢'!$C$5,COUNTIF($B$2:B2118,'🎯 一鍵查詢'!$C$5),"")</f>
        <v/>
      </c>
    </row>
    <row r="2119">
      <c r="A2119" t="n">
        <v>82871</v>
      </c>
      <c r="B2119" t="n">
        <v>8287</v>
      </c>
      <c r="C2119">
        <f>IF(B2119='🎯 一鍵查詢'!$C$5,COUNTIF($B$2:B2119,'🎯 一鍵查詢'!$C$5),"")</f>
        <v/>
      </c>
    </row>
    <row r="2120">
      <c r="A2120" t="n">
        <v>82891</v>
      </c>
      <c r="B2120" t="n">
        <v>8289</v>
      </c>
      <c r="C2120">
        <f>IF(B2120='🎯 一鍵查詢'!$C$5,COUNTIF($B$2:B2120,'🎯 一鍵查詢'!$C$5),"")</f>
        <v/>
      </c>
    </row>
    <row r="2121">
      <c r="A2121" t="n">
        <v>82991</v>
      </c>
      <c r="B2121" t="n">
        <v>8299</v>
      </c>
      <c r="C2121">
        <f>IF(B2121='🎯 一鍵查詢'!$C$5,COUNTIF($B$2:B2121,'🎯 一鍵查詢'!$C$5),"")</f>
        <v/>
      </c>
    </row>
    <row r="2122">
      <c r="A2122" t="n">
        <v>82992</v>
      </c>
      <c r="B2122" t="n">
        <v>8299</v>
      </c>
      <c r="C2122">
        <f>IF(B2122='🎯 一鍵查詢'!$C$5,COUNTIF($B$2:B2122,'🎯 一鍵查詢'!$C$5),"")</f>
        <v/>
      </c>
    </row>
    <row r="2123">
      <c r="A2123" t="n">
        <v>82993</v>
      </c>
      <c r="B2123" t="n">
        <v>8299</v>
      </c>
      <c r="C2123">
        <f>IF(B2123='🎯 一鍵查詢'!$C$5,COUNTIF($B$2:B2123,'🎯 一鍵查詢'!$C$5),"")</f>
        <v/>
      </c>
    </row>
    <row r="2124">
      <c r="A2124" t="n">
        <v>83491</v>
      </c>
      <c r="B2124" t="n">
        <v>8349</v>
      </c>
      <c r="C2124">
        <f>IF(B2124='🎯 一鍵查詢'!$C$5,COUNTIF($B$2:B2124,'🎯 一鍵查詢'!$C$5),"")</f>
        <v/>
      </c>
    </row>
    <row r="2125">
      <c r="A2125" t="n">
        <v>83492</v>
      </c>
      <c r="B2125" t="n">
        <v>8349</v>
      </c>
      <c r="C2125">
        <f>IF(B2125='🎯 一鍵查詢'!$C$5,COUNTIF($B$2:B2125,'🎯 一鍵查詢'!$C$5),"")</f>
        <v/>
      </c>
    </row>
    <row r="2126">
      <c r="A2126" t="n">
        <v>83493</v>
      </c>
      <c r="B2126" t="n">
        <v>8349</v>
      </c>
      <c r="C2126">
        <f>IF(B2126='🎯 一鍵查詢'!$C$5,COUNTIF($B$2:B2126,'🎯 一鍵查詢'!$C$5),"")</f>
        <v/>
      </c>
    </row>
    <row r="2127">
      <c r="A2127" t="n">
        <v>83494</v>
      </c>
      <c r="B2127" t="n">
        <v>8349</v>
      </c>
      <c r="C2127">
        <f>IF(B2127='🎯 一鍵查詢'!$C$5,COUNTIF($B$2:B2127,'🎯 一鍵查詢'!$C$5),"")</f>
        <v/>
      </c>
    </row>
    <row r="2128">
      <c r="A2128" t="n">
        <v>83541</v>
      </c>
      <c r="B2128" t="n">
        <v>8354</v>
      </c>
      <c r="C2128">
        <f>IF(B2128='🎯 一鍵查詢'!$C$5,COUNTIF($B$2:B2128,'🎯 一鍵查詢'!$C$5),"")</f>
        <v/>
      </c>
    </row>
    <row r="2129">
      <c r="A2129" t="n">
        <v>83671</v>
      </c>
      <c r="B2129" t="n">
        <v>8367</v>
      </c>
      <c r="C2129">
        <f>IF(B2129='🎯 一鍵查詢'!$C$5,COUNTIF($B$2:B2129,'🎯 一鍵查詢'!$C$5),"")</f>
        <v/>
      </c>
    </row>
    <row r="2130">
      <c r="A2130" t="n">
        <v>83741</v>
      </c>
      <c r="B2130" t="n">
        <v>8374</v>
      </c>
      <c r="C2130">
        <f>IF(B2130='🎯 一鍵查詢'!$C$5,COUNTIF($B$2:B2130,'🎯 一鍵查詢'!$C$5),"")</f>
        <v/>
      </c>
    </row>
    <row r="2131">
      <c r="A2131" t="n">
        <v>83742</v>
      </c>
      <c r="B2131" t="n">
        <v>8374</v>
      </c>
      <c r="C2131">
        <f>IF(B2131='🎯 一鍵查詢'!$C$5,COUNTIF($B$2:B2131,'🎯 一鍵查詢'!$C$5),"")</f>
        <v/>
      </c>
    </row>
    <row r="2132">
      <c r="A2132" t="n">
        <v>83831</v>
      </c>
      <c r="B2132" t="n">
        <v>8383</v>
      </c>
      <c r="C2132">
        <f>IF(B2132='🎯 一鍵查詢'!$C$5,COUNTIF($B$2:B2132,'🎯 一鍵查詢'!$C$5),"")</f>
        <v/>
      </c>
    </row>
    <row r="2133">
      <c r="A2133" t="n">
        <v>83901</v>
      </c>
      <c r="B2133" t="n">
        <v>8390</v>
      </c>
      <c r="C2133">
        <f>IF(B2133='🎯 一鍵查詢'!$C$5,COUNTIF($B$2:B2133,'🎯 一鍵查詢'!$C$5),"")</f>
        <v/>
      </c>
    </row>
    <row r="2134">
      <c r="A2134" t="n">
        <v>83902</v>
      </c>
      <c r="B2134" t="n">
        <v>8390</v>
      </c>
      <c r="C2134">
        <f>IF(B2134='🎯 一鍵查詢'!$C$5,COUNTIF($B$2:B2134,'🎯 一鍵查詢'!$C$5),"")</f>
        <v/>
      </c>
    </row>
    <row r="2135">
      <c r="A2135" t="n">
        <v>83903</v>
      </c>
      <c r="B2135" t="n">
        <v>8390</v>
      </c>
      <c r="C2135">
        <f>IF(B2135='🎯 一鍵查詢'!$C$5,COUNTIF($B$2:B2135,'🎯 一鍵查詢'!$C$5),"")</f>
        <v/>
      </c>
    </row>
    <row r="2136">
      <c r="A2136" t="n">
        <v>83904</v>
      </c>
      <c r="B2136" t="n">
        <v>8390</v>
      </c>
      <c r="C2136">
        <f>IF(B2136='🎯 一鍵查詢'!$C$5,COUNTIF($B$2:B2136,'🎯 一鍵查詢'!$C$5),"")</f>
        <v/>
      </c>
    </row>
    <row r="2137">
      <c r="A2137" t="n">
        <v>83905</v>
      </c>
      <c r="B2137" t="n">
        <v>8390</v>
      </c>
      <c r="C2137">
        <f>IF(B2137='🎯 一鍵查詢'!$C$5,COUNTIF($B$2:B2137,'🎯 一鍵查詢'!$C$5),"")</f>
        <v/>
      </c>
    </row>
    <row r="2138">
      <c r="A2138" t="n">
        <v>84011</v>
      </c>
      <c r="B2138" t="n">
        <v>8401</v>
      </c>
      <c r="C2138">
        <f>IF(B2138='🎯 一鍵查詢'!$C$5,COUNTIF($B$2:B2138,'🎯 一鍵查詢'!$C$5),"")</f>
        <v/>
      </c>
    </row>
    <row r="2139">
      <c r="A2139" t="n">
        <v>84031</v>
      </c>
      <c r="B2139" t="n">
        <v>8403</v>
      </c>
      <c r="C2139">
        <f>IF(B2139='🎯 一鍵查詢'!$C$5,COUNTIF($B$2:B2139,'🎯 一鍵查詢'!$C$5),"")</f>
        <v/>
      </c>
    </row>
    <row r="2140">
      <c r="A2140" t="n">
        <v>84032</v>
      </c>
      <c r="B2140" t="n">
        <v>8403</v>
      </c>
      <c r="C2140">
        <f>IF(B2140='🎯 一鍵查詢'!$C$5,COUNTIF($B$2:B2140,'🎯 一鍵查詢'!$C$5),"")</f>
        <v/>
      </c>
    </row>
    <row r="2141">
      <c r="A2141" t="n">
        <v>84033</v>
      </c>
      <c r="B2141" t="n">
        <v>8403</v>
      </c>
      <c r="C2141">
        <f>IF(B2141='🎯 一鍵查詢'!$C$5,COUNTIF($B$2:B2141,'🎯 一鍵查詢'!$C$5),"")</f>
        <v/>
      </c>
    </row>
    <row r="2142">
      <c r="A2142" t="n">
        <v>84041</v>
      </c>
      <c r="B2142" t="n">
        <v>8404</v>
      </c>
      <c r="C2142">
        <f>IF(B2142='🎯 一鍵查詢'!$C$5,COUNTIF($B$2:B2142,'🎯 一鍵查詢'!$C$5),"")</f>
        <v/>
      </c>
    </row>
    <row r="2143">
      <c r="A2143" t="n">
        <v>84061</v>
      </c>
      <c r="B2143" t="n">
        <v>8406</v>
      </c>
      <c r="C2143">
        <f>IF(B2143='🎯 一鍵查詢'!$C$5,COUNTIF($B$2:B2143,'🎯 一鍵查詢'!$C$5),"")</f>
        <v/>
      </c>
    </row>
    <row r="2144">
      <c r="A2144" t="n">
        <v>84111</v>
      </c>
      <c r="B2144" t="n">
        <v>8411</v>
      </c>
      <c r="C2144">
        <f>IF(B2144='🎯 一鍵查詢'!$C$5,COUNTIF($B$2:B2144,'🎯 一鍵查詢'!$C$5),"")</f>
        <v/>
      </c>
    </row>
    <row r="2145">
      <c r="A2145" t="n">
        <v>84112</v>
      </c>
      <c r="B2145" t="n">
        <v>8411</v>
      </c>
      <c r="C2145">
        <f>IF(B2145='🎯 一鍵查詢'!$C$5,COUNTIF($B$2:B2145,'🎯 一鍵查詢'!$C$5),"")</f>
        <v/>
      </c>
    </row>
    <row r="2146">
      <c r="A2146" t="n">
        <v>84113</v>
      </c>
      <c r="B2146" t="n">
        <v>8411</v>
      </c>
      <c r="C2146">
        <f>IF(B2146='🎯 一鍵查詢'!$C$5,COUNTIF($B$2:B2146,'🎯 一鍵查詢'!$C$5),"")</f>
        <v/>
      </c>
    </row>
    <row r="2147">
      <c r="A2147" t="n">
        <v>84201</v>
      </c>
      <c r="B2147" t="n">
        <v>8420</v>
      </c>
      <c r="C2147">
        <f>IF(B2147='🎯 一鍵查詢'!$C$5,COUNTIF($B$2:B2147,'🎯 一鍵查詢'!$C$5),"")</f>
        <v/>
      </c>
    </row>
    <row r="2148">
      <c r="A2148" t="n">
        <v>84211</v>
      </c>
      <c r="B2148" t="n">
        <v>8421</v>
      </c>
      <c r="C2148">
        <f>IF(B2148='🎯 一鍵查詢'!$C$5,COUNTIF($B$2:B2148,'🎯 一鍵查詢'!$C$5),"")</f>
        <v/>
      </c>
    </row>
    <row r="2149">
      <c r="A2149" t="n">
        <v>84221</v>
      </c>
      <c r="B2149" t="n">
        <v>8422</v>
      </c>
      <c r="C2149">
        <f>IF(B2149='🎯 一鍵查詢'!$C$5,COUNTIF($B$2:B2149,'🎯 一鍵查詢'!$C$5),"")</f>
        <v/>
      </c>
    </row>
    <row r="2150">
      <c r="A2150" t="n">
        <v>84222</v>
      </c>
      <c r="B2150" t="n">
        <v>8422</v>
      </c>
      <c r="C2150">
        <f>IF(B2150='🎯 一鍵查詢'!$C$5,COUNTIF($B$2:B2150,'🎯 一鍵查詢'!$C$5),"")</f>
        <v/>
      </c>
    </row>
    <row r="2151">
      <c r="A2151" t="n">
        <v>84291</v>
      </c>
      <c r="B2151" t="n">
        <v>8429</v>
      </c>
      <c r="C2151">
        <f>IF(B2151='🎯 一鍵查詢'!$C$5,COUNTIF($B$2:B2151,'🎯 一鍵查詢'!$C$5),"")</f>
        <v/>
      </c>
    </row>
    <row r="2152">
      <c r="A2152" t="n">
        <v>84311</v>
      </c>
      <c r="B2152" t="n">
        <v>8431</v>
      </c>
      <c r="C2152">
        <f>IF(B2152='🎯 一鍵查詢'!$C$5,COUNTIF($B$2:B2152,'🎯 一鍵查詢'!$C$5),"")</f>
        <v/>
      </c>
    </row>
    <row r="2153">
      <c r="A2153" t="n">
        <v>84312</v>
      </c>
      <c r="B2153" t="n">
        <v>8431</v>
      </c>
      <c r="C2153">
        <f>IF(B2153='🎯 一鍵查詢'!$C$5,COUNTIF($B$2:B2153,'🎯 一鍵查詢'!$C$5),"")</f>
        <v/>
      </c>
    </row>
    <row r="2154">
      <c r="A2154" t="n">
        <v>84331</v>
      </c>
      <c r="B2154" t="n">
        <v>8433</v>
      </c>
      <c r="C2154">
        <f>IF(B2154='🎯 一鍵查詢'!$C$5,COUNTIF($B$2:B2154,'🎯 一鍵查詢'!$C$5),"")</f>
        <v/>
      </c>
    </row>
    <row r="2155">
      <c r="A2155" t="n">
        <v>84332</v>
      </c>
      <c r="B2155" t="n">
        <v>8433</v>
      </c>
      <c r="C2155">
        <f>IF(B2155='🎯 一鍵查詢'!$C$5,COUNTIF($B$2:B2155,'🎯 一鍵查詢'!$C$5),"")</f>
        <v/>
      </c>
    </row>
    <row r="2156">
      <c r="A2156" t="n">
        <v>84333</v>
      </c>
      <c r="B2156" t="n">
        <v>8433</v>
      </c>
      <c r="C2156">
        <f>IF(B2156='🎯 一鍵查詢'!$C$5,COUNTIF($B$2:B2156,'🎯 一鍵查詢'!$C$5),"")</f>
        <v/>
      </c>
    </row>
    <row r="2157">
      <c r="A2157" t="n">
        <v>84361</v>
      </c>
      <c r="B2157" t="n">
        <v>8436</v>
      </c>
      <c r="C2157">
        <f>IF(B2157='🎯 一鍵查詢'!$C$5,COUNTIF($B$2:B2157,'🎯 一鍵查詢'!$C$5),"")</f>
        <v/>
      </c>
    </row>
    <row r="2158">
      <c r="A2158" t="n">
        <v>84362</v>
      </c>
      <c r="B2158" t="n">
        <v>8436</v>
      </c>
      <c r="C2158">
        <f>IF(B2158='🎯 一鍵查詢'!$C$5,COUNTIF($B$2:B2158,'🎯 一鍵查詢'!$C$5),"")</f>
        <v/>
      </c>
    </row>
    <row r="2159">
      <c r="A2159" t="n">
        <v>84371</v>
      </c>
      <c r="B2159" t="n">
        <v>8437</v>
      </c>
      <c r="C2159">
        <f>IF(B2159='🎯 一鍵查詢'!$C$5,COUNTIF($B$2:B2159,'🎯 一鍵查詢'!$C$5),"")</f>
        <v/>
      </c>
    </row>
    <row r="2160">
      <c r="A2160" t="n">
        <v>84372</v>
      </c>
      <c r="B2160" t="n">
        <v>8437</v>
      </c>
      <c r="C2160">
        <f>IF(B2160='🎯 一鍵查詢'!$C$5,COUNTIF($B$2:B2160,'🎯 一鍵查詢'!$C$5),"")</f>
        <v/>
      </c>
    </row>
    <row r="2161">
      <c r="A2161" t="n">
        <v>84421</v>
      </c>
      <c r="B2161" t="n">
        <v>8442</v>
      </c>
      <c r="C2161">
        <f>IF(B2161='🎯 一鍵查詢'!$C$5,COUNTIF($B$2:B2161,'🎯 一鍵查詢'!$C$5),"")</f>
        <v/>
      </c>
    </row>
    <row r="2162">
      <c r="A2162" t="n">
        <v>84422</v>
      </c>
      <c r="B2162" t="n">
        <v>8442</v>
      </c>
      <c r="C2162">
        <f>IF(B2162='🎯 一鍵查詢'!$C$5,COUNTIF($B$2:B2162,'🎯 一鍵查詢'!$C$5),"")</f>
        <v/>
      </c>
    </row>
    <row r="2163">
      <c r="A2163" t="n">
        <v>84501</v>
      </c>
      <c r="B2163" t="n">
        <v>8450</v>
      </c>
      <c r="C2163">
        <f>IF(B2163='🎯 一鍵查詢'!$C$5,COUNTIF($B$2:B2163,'🎯 一鍵查詢'!$C$5),"")</f>
        <v/>
      </c>
    </row>
    <row r="2164">
      <c r="A2164" t="n">
        <v>84621</v>
      </c>
      <c r="B2164" t="n">
        <v>8462</v>
      </c>
      <c r="C2164">
        <f>IF(B2164='🎯 一鍵查詢'!$C$5,COUNTIF($B$2:B2164,'🎯 一鍵查詢'!$C$5),"")</f>
        <v/>
      </c>
    </row>
    <row r="2165">
      <c r="A2165" t="n">
        <v>84622</v>
      </c>
      <c r="B2165" t="n">
        <v>8462</v>
      </c>
      <c r="C2165">
        <f>IF(B2165='🎯 一鍵查詢'!$C$5,COUNTIF($B$2:B2165,'🎯 一鍵查詢'!$C$5),"")</f>
        <v/>
      </c>
    </row>
    <row r="2166">
      <c r="A2166" t="n">
        <v>84623</v>
      </c>
      <c r="B2166" t="n">
        <v>8462</v>
      </c>
      <c r="C2166">
        <f>IF(B2166='🎯 一鍵查詢'!$C$5,COUNTIF($B$2:B2166,'🎯 一鍵查詢'!$C$5),"")</f>
        <v/>
      </c>
    </row>
    <row r="2167">
      <c r="A2167" t="n">
        <v>84661</v>
      </c>
      <c r="B2167" t="n">
        <v>8466</v>
      </c>
      <c r="C2167">
        <f>IF(B2167='🎯 一鍵查詢'!$C$5,COUNTIF($B$2:B2167,'🎯 一鍵查詢'!$C$5),"")</f>
        <v/>
      </c>
    </row>
    <row r="2168">
      <c r="A2168" t="n">
        <v>84662</v>
      </c>
      <c r="B2168" t="n">
        <v>8466</v>
      </c>
      <c r="C2168">
        <f>IF(B2168='🎯 一鍵查詢'!$C$5,COUNTIF($B$2:B2168,'🎯 一鍵查詢'!$C$5),"")</f>
        <v/>
      </c>
    </row>
    <row r="2169">
      <c r="A2169" t="n">
        <v>84671</v>
      </c>
      <c r="B2169" t="n">
        <v>8467</v>
      </c>
      <c r="C2169">
        <f>IF(B2169='🎯 一鍵查詢'!$C$5,COUNTIF($B$2:B2169,'🎯 一鍵查詢'!$C$5),"")</f>
        <v/>
      </c>
    </row>
    <row r="2170">
      <c r="A2170" t="n">
        <v>84672</v>
      </c>
      <c r="B2170" t="n">
        <v>8467</v>
      </c>
      <c r="C2170">
        <f>IF(B2170='🎯 一鍵查詢'!$C$5,COUNTIF($B$2:B2170,'🎯 一鍵查詢'!$C$5),"")</f>
        <v/>
      </c>
    </row>
    <row r="2171">
      <c r="A2171" t="n">
        <v>84673</v>
      </c>
      <c r="B2171" t="n">
        <v>8467</v>
      </c>
      <c r="C2171">
        <f>IF(B2171='🎯 一鍵查詢'!$C$5,COUNTIF($B$2:B2171,'🎯 一鍵查詢'!$C$5),"")</f>
        <v/>
      </c>
    </row>
    <row r="2172">
      <c r="A2172" t="n">
        <v>84731</v>
      </c>
      <c r="B2172" t="n">
        <v>8473</v>
      </c>
      <c r="C2172">
        <f>IF(B2172='🎯 一鍵查詢'!$C$5,COUNTIF($B$2:B2172,'🎯 一鍵查詢'!$C$5),"")</f>
        <v/>
      </c>
    </row>
    <row r="2173">
      <c r="A2173" t="n">
        <v>84732</v>
      </c>
      <c r="B2173" t="n">
        <v>8473</v>
      </c>
      <c r="C2173">
        <f>IF(B2173='🎯 一鍵查詢'!$C$5,COUNTIF($B$2:B2173,'🎯 一鍵查詢'!$C$5),"")</f>
        <v/>
      </c>
    </row>
    <row r="2174">
      <c r="A2174" t="n">
        <v>84761</v>
      </c>
      <c r="B2174" t="n">
        <v>8476</v>
      </c>
      <c r="C2174">
        <f>IF(B2174='🎯 一鍵查詢'!$C$5,COUNTIF($B$2:B2174,'🎯 一鍵查詢'!$C$5),"")</f>
        <v/>
      </c>
    </row>
    <row r="2175">
      <c r="A2175" t="n">
        <v>84781</v>
      </c>
      <c r="B2175" t="n">
        <v>8478</v>
      </c>
      <c r="C2175">
        <f>IF(B2175='🎯 一鍵查詢'!$C$5,COUNTIF($B$2:B2175,'🎯 一鍵查詢'!$C$5),"")</f>
        <v/>
      </c>
    </row>
    <row r="2176">
      <c r="A2176" t="n">
        <v>84881</v>
      </c>
      <c r="B2176" t="n">
        <v>8488</v>
      </c>
      <c r="C2176">
        <f>IF(B2176='🎯 一鍵查詢'!$C$5,COUNTIF($B$2:B2176,'🎯 一鍵查詢'!$C$5),"")</f>
        <v/>
      </c>
    </row>
    <row r="2177">
      <c r="A2177" t="n">
        <v>84891</v>
      </c>
      <c r="B2177" t="n">
        <v>8489</v>
      </c>
      <c r="C2177">
        <f>IF(B2177='🎯 一鍵查詢'!$C$5,COUNTIF($B$2:B2177,'🎯 一鍵查詢'!$C$5),"")</f>
        <v/>
      </c>
    </row>
    <row r="2178">
      <c r="A2178" t="n">
        <v>84991</v>
      </c>
      <c r="B2178" t="n">
        <v>8499</v>
      </c>
      <c r="C2178">
        <f>IF(B2178='🎯 一鍵查詢'!$C$5,COUNTIF($B$2:B2178,'🎯 一鍵查詢'!$C$5),"")</f>
        <v/>
      </c>
    </row>
    <row r="2179">
      <c r="A2179" t="n">
        <v>89161</v>
      </c>
      <c r="B2179" t="n">
        <v>8916</v>
      </c>
      <c r="C2179">
        <f>IF(B2179='🎯 一鍵查詢'!$C$5,COUNTIF($B$2:B2179,'🎯 一鍵查詢'!$C$5),"")</f>
        <v/>
      </c>
    </row>
    <row r="2180">
      <c r="A2180" t="n">
        <v>89241</v>
      </c>
      <c r="B2180" t="n">
        <v>8924</v>
      </c>
      <c r="C2180">
        <f>IF(B2180='🎯 一鍵查詢'!$C$5,COUNTIF($B$2:B2180,'🎯 一鍵查詢'!$C$5),"")</f>
        <v/>
      </c>
    </row>
    <row r="2181">
      <c r="A2181" t="n">
        <v>89251</v>
      </c>
      <c r="B2181" t="n">
        <v>8925</v>
      </c>
      <c r="C2181">
        <f>IF(B2181='🎯 一鍵查詢'!$C$5,COUNTIF($B$2:B2181,'🎯 一鍵查詢'!$C$5),"")</f>
        <v/>
      </c>
    </row>
    <row r="2182">
      <c r="A2182" t="n">
        <v>89252</v>
      </c>
      <c r="B2182" t="n">
        <v>8925</v>
      </c>
      <c r="C2182">
        <f>IF(B2182='🎯 一鍵查詢'!$C$5,COUNTIF($B$2:B2182,'🎯 一鍵查詢'!$C$5),"")</f>
        <v/>
      </c>
    </row>
    <row r="2183">
      <c r="A2183" t="n">
        <v>89253</v>
      </c>
      <c r="B2183" t="n">
        <v>8925</v>
      </c>
      <c r="C2183">
        <f>IF(B2183='🎯 一鍵查詢'!$C$5,COUNTIF($B$2:B2183,'🎯 一鍵查詢'!$C$5),"")</f>
        <v/>
      </c>
    </row>
    <row r="2184">
      <c r="A2184" t="n">
        <v>89254</v>
      </c>
      <c r="B2184" t="n">
        <v>8925</v>
      </c>
      <c r="C2184">
        <f>IF(B2184='🎯 一鍵查詢'!$C$5,COUNTIF($B$2:B2184,'🎯 一鍵查詢'!$C$5),"")</f>
        <v/>
      </c>
    </row>
    <row r="2185">
      <c r="A2185" t="n">
        <v>89255</v>
      </c>
      <c r="B2185" t="n">
        <v>8925</v>
      </c>
      <c r="C2185">
        <f>IF(B2185='🎯 一鍵查詢'!$C$5,COUNTIF($B$2:B2185,'🎯 一鍵查詢'!$C$5),"")</f>
        <v/>
      </c>
    </row>
    <row r="2186">
      <c r="A2186" t="n">
        <v>89261</v>
      </c>
      <c r="B2186" t="n">
        <v>8926</v>
      </c>
      <c r="C2186">
        <f>IF(B2186='🎯 一鍵查詢'!$C$5,COUNTIF($B$2:B2186,'🎯 一鍵查詢'!$C$5),"")</f>
        <v/>
      </c>
    </row>
    <row r="2187">
      <c r="A2187" t="n">
        <v>89271</v>
      </c>
      <c r="B2187" t="n">
        <v>8927</v>
      </c>
      <c r="C2187">
        <f>IF(B2187='🎯 一鍵查詢'!$C$5,COUNTIF($B$2:B2187,'🎯 一鍵查詢'!$C$5),"")</f>
        <v/>
      </c>
    </row>
    <row r="2188">
      <c r="A2188" t="n">
        <v>89272</v>
      </c>
      <c r="B2188" t="n">
        <v>8927</v>
      </c>
      <c r="C2188">
        <f>IF(B2188='🎯 一鍵查詢'!$C$5,COUNTIF($B$2:B2188,'🎯 一鍵查詢'!$C$5),"")</f>
        <v/>
      </c>
    </row>
    <row r="2189">
      <c r="A2189" t="n">
        <v>89273</v>
      </c>
      <c r="B2189" t="n">
        <v>8927</v>
      </c>
      <c r="C2189">
        <f>IF(B2189='🎯 一鍵查詢'!$C$5,COUNTIF($B$2:B2189,'🎯 一鍵查詢'!$C$5),"")</f>
        <v/>
      </c>
    </row>
    <row r="2190">
      <c r="A2190" t="n">
        <v>89274</v>
      </c>
      <c r="B2190" t="n">
        <v>8927</v>
      </c>
      <c r="C2190">
        <f>IF(B2190='🎯 一鍵查詢'!$C$5,COUNTIF($B$2:B2190,'🎯 一鍵查詢'!$C$5),"")</f>
        <v/>
      </c>
    </row>
    <row r="2191">
      <c r="A2191" t="n">
        <v>89275</v>
      </c>
      <c r="B2191" t="n">
        <v>8927</v>
      </c>
      <c r="C2191">
        <f>IF(B2191='🎯 一鍵查詢'!$C$5,COUNTIF($B$2:B2191,'🎯 一鍵查詢'!$C$5),"")</f>
        <v/>
      </c>
    </row>
    <row r="2192">
      <c r="A2192" t="n">
        <v>89276</v>
      </c>
      <c r="B2192" t="n">
        <v>8927</v>
      </c>
      <c r="C2192">
        <f>IF(B2192='🎯 一鍵查詢'!$C$5,COUNTIF($B$2:B2192,'🎯 一鍵查詢'!$C$5),"")</f>
        <v/>
      </c>
    </row>
    <row r="2193">
      <c r="A2193" t="n">
        <v>89277</v>
      </c>
      <c r="B2193" t="n">
        <v>8927</v>
      </c>
      <c r="C2193">
        <f>IF(B2193='🎯 一鍵查詢'!$C$5,COUNTIF($B$2:B2193,'🎯 一鍵查詢'!$C$5),"")</f>
        <v/>
      </c>
    </row>
    <row r="2194">
      <c r="A2194" t="n">
        <v>89278</v>
      </c>
      <c r="B2194" t="n">
        <v>8927</v>
      </c>
      <c r="C2194">
        <f>IF(B2194='🎯 一鍵查詢'!$C$5,COUNTIF($B$2:B2194,'🎯 一鍵查詢'!$C$5),"")</f>
        <v/>
      </c>
    </row>
    <row r="2195">
      <c r="A2195" t="n">
        <v>89281</v>
      </c>
      <c r="B2195" t="n">
        <v>8928</v>
      </c>
      <c r="C2195">
        <f>IF(B2195='🎯 一鍵查詢'!$C$5,COUNTIF($B$2:B2195,'🎯 一鍵查詢'!$C$5),"")</f>
        <v/>
      </c>
    </row>
    <row r="2196">
      <c r="A2196" t="n">
        <v>89291</v>
      </c>
      <c r="B2196" t="n">
        <v>8929</v>
      </c>
      <c r="C2196">
        <f>IF(B2196='🎯 一鍵查詢'!$C$5,COUNTIF($B$2:B2196,'🎯 一鍵查詢'!$C$5),"")</f>
        <v/>
      </c>
    </row>
    <row r="2197">
      <c r="A2197" t="n">
        <v>89301</v>
      </c>
      <c r="B2197" t="n">
        <v>8930</v>
      </c>
      <c r="C2197">
        <f>IF(B2197='🎯 一鍵查詢'!$C$5,COUNTIF($B$2:B2197,'🎯 一鍵查詢'!$C$5),"")</f>
        <v/>
      </c>
    </row>
    <row r="2198">
      <c r="A2198" t="n">
        <v>89302</v>
      </c>
      <c r="B2198" t="n">
        <v>8930</v>
      </c>
      <c r="C2198">
        <f>IF(B2198='🎯 一鍵查詢'!$C$5,COUNTIF($B$2:B2198,'🎯 一鍵查詢'!$C$5),"")</f>
        <v/>
      </c>
    </row>
    <row r="2199">
      <c r="A2199" t="n">
        <v>89321</v>
      </c>
      <c r="B2199" t="n">
        <v>8932</v>
      </c>
      <c r="C2199">
        <f>IF(B2199='🎯 一鍵查詢'!$C$5,COUNTIF($B$2:B2199,'🎯 一鍵查詢'!$C$5),"")</f>
        <v/>
      </c>
    </row>
    <row r="2200">
      <c r="A2200" t="n">
        <v>89331</v>
      </c>
      <c r="B2200" t="n">
        <v>8933</v>
      </c>
      <c r="C2200">
        <f>IF(B2200='🎯 一鍵查詢'!$C$5,COUNTIF($B$2:B2200,'🎯 一鍵查詢'!$C$5),"")</f>
        <v/>
      </c>
    </row>
    <row r="2201">
      <c r="A2201" t="n">
        <v>89332</v>
      </c>
      <c r="B2201" t="n">
        <v>8933</v>
      </c>
      <c r="C2201">
        <f>IF(B2201='🎯 一鍵查詢'!$C$5,COUNTIF($B$2:B2201,'🎯 一鍵查詢'!$C$5),"")</f>
        <v/>
      </c>
    </row>
    <row r="2202">
      <c r="A2202" t="n">
        <v>89333</v>
      </c>
      <c r="B2202" t="n">
        <v>8933</v>
      </c>
      <c r="C2202">
        <f>IF(B2202='🎯 一鍵查詢'!$C$5,COUNTIF($B$2:B2202,'🎯 一鍵查詢'!$C$5),"")</f>
        <v/>
      </c>
    </row>
    <row r="2203">
      <c r="A2203" t="n">
        <v>89334</v>
      </c>
      <c r="B2203" t="n">
        <v>8933</v>
      </c>
      <c r="C2203">
        <f>IF(B2203='🎯 一鍵查詢'!$C$5,COUNTIF($B$2:B2203,'🎯 一鍵查詢'!$C$5),"")</f>
        <v/>
      </c>
    </row>
    <row r="2204">
      <c r="A2204" t="n">
        <v>89335</v>
      </c>
      <c r="B2204" t="n">
        <v>8933</v>
      </c>
      <c r="C2204">
        <f>IF(B2204='🎯 一鍵查詢'!$C$5,COUNTIF($B$2:B2204,'🎯 一鍵查詢'!$C$5),"")</f>
        <v/>
      </c>
    </row>
    <row r="2205">
      <c r="A2205" t="n">
        <v>89351</v>
      </c>
      <c r="B2205" t="n">
        <v>8935</v>
      </c>
      <c r="C2205">
        <f>IF(B2205='🎯 一鍵查詢'!$C$5,COUNTIF($B$2:B2205,'🎯 一鍵查詢'!$C$5),"")</f>
        <v/>
      </c>
    </row>
    <row r="2206">
      <c r="A2206" t="n">
        <v>89352</v>
      </c>
      <c r="B2206" t="n">
        <v>8935</v>
      </c>
      <c r="C2206">
        <f>IF(B2206='🎯 一鍵查詢'!$C$5,COUNTIF($B$2:B2206,'🎯 一鍵查詢'!$C$5),"")</f>
        <v/>
      </c>
    </row>
    <row r="2207">
      <c r="A2207" t="n">
        <v>89361</v>
      </c>
      <c r="B2207" t="n">
        <v>8936</v>
      </c>
      <c r="C2207">
        <f>IF(B2207='🎯 一鍵查詢'!$C$5,COUNTIF($B$2:B2207,'🎯 一鍵查詢'!$C$5),"")</f>
        <v/>
      </c>
    </row>
    <row r="2208">
      <c r="A2208" t="n">
        <v>89362</v>
      </c>
      <c r="B2208" t="n">
        <v>8936</v>
      </c>
      <c r="C2208">
        <f>IF(B2208='🎯 一鍵查詢'!$C$5,COUNTIF($B$2:B2208,'🎯 一鍵查詢'!$C$5),"")</f>
        <v/>
      </c>
    </row>
    <row r="2209">
      <c r="A2209" t="n">
        <v>89363</v>
      </c>
      <c r="B2209" t="n">
        <v>8936</v>
      </c>
      <c r="C2209">
        <f>IF(B2209='🎯 一鍵查詢'!$C$5,COUNTIF($B$2:B2209,'🎯 一鍵查詢'!$C$5),"")</f>
        <v/>
      </c>
    </row>
    <row r="2210">
      <c r="A2210" t="n">
        <v>89364</v>
      </c>
      <c r="B2210" t="n">
        <v>8936</v>
      </c>
      <c r="C2210">
        <f>IF(B2210='🎯 一鍵查詢'!$C$5,COUNTIF($B$2:B2210,'🎯 一鍵查詢'!$C$5),"")</f>
        <v/>
      </c>
    </row>
    <row r="2211">
      <c r="A2211" t="n">
        <v>89381</v>
      </c>
      <c r="B2211" t="n">
        <v>8938</v>
      </c>
      <c r="C2211">
        <f>IF(B2211='🎯 一鍵查詢'!$C$5,COUNTIF($B$2:B2211,'🎯 一鍵查詢'!$C$5),"")</f>
        <v/>
      </c>
    </row>
    <row r="2212">
      <c r="A2212" t="n">
        <v>89382</v>
      </c>
      <c r="B2212" t="n">
        <v>8938</v>
      </c>
      <c r="C2212">
        <f>IF(B2212='🎯 一鍵查詢'!$C$5,COUNTIF($B$2:B2212,'🎯 一鍵查詢'!$C$5),"")</f>
        <v/>
      </c>
    </row>
    <row r="2213">
      <c r="A2213" t="n">
        <v>89383</v>
      </c>
      <c r="B2213" t="n">
        <v>8938</v>
      </c>
      <c r="C2213">
        <f>IF(B2213='🎯 一鍵查詢'!$C$5,COUNTIF($B$2:B2213,'🎯 一鍵查詢'!$C$5),"")</f>
        <v/>
      </c>
    </row>
    <row r="2214">
      <c r="A2214" t="n">
        <v>89411</v>
      </c>
      <c r="B2214" t="n">
        <v>8941</v>
      </c>
      <c r="C2214">
        <f>IF(B2214='🎯 一鍵查詢'!$C$5,COUNTIF($B$2:B2214,'🎯 一鍵查詢'!$C$5),"")</f>
        <v/>
      </c>
    </row>
    <row r="2215">
      <c r="A2215" t="n">
        <v>89421</v>
      </c>
      <c r="B2215" t="n">
        <v>8942</v>
      </c>
      <c r="C2215">
        <f>IF(B2215='🎯 一鍵查詢'!$C$5,COUNTIF($B$2:B2215,'🎯 一鍵查詢'!$C$5),"")</f>
        <v/>
      </c>
    </row>
    <row r="2216">
      <c r="A2216" t="n">
        <v>89422</v>
      </c>
      <c r="B2216" t="n">
        <v>8942</v>
      </c>
      <c r="C2216">
        <f>IF(B2216='🎯 一鍵查詢'!$C$5,COUNTIF($B$2:B2216,'🎯 一鍵查詢'!$C$5),"")</f>
        <v/>
      </c>
    </row>
    <row r="2217">
      <c r="A2217" t="n">
        <v>89423</v>
      </c>
      <c r="B2217" t="n">
        <v>8942</v>
      </c>
      <c r="C2217">
        <f>IF(B2217='🎯 一鍵查詢'!$C$5,COUNTIF($B$2:B2217,'🎯 一鍵查詢'!$C$5),"")</f>
        <v/>
      </c>
    </row>
    <row r="2218">
      <c r="A2218" t="n">
        <v>89424</v>
      </c>
      <c r="B2218" t="n">
        <v>8942</v>
      </c>
      <c r="C2218">
        <f>IF(B2218='🎯 一鍵查詢'!$C$5,COUNTIF($B$2:B2218,'🎯 一鍵查詢'!$C$5),"")</f>
        <v/>
      </c>
    </row>
    <row r="2219">
      <c r="A2219" t="n">
        <v>89961</v>
      </c>
      <c r="B2219" t="n">
        <v>8996</v>
      </c>
      <c r="C2219">
        <f>IF(B2219='🎯 一鍵查詢'!$C$5,COUNTIF($B$2:B2219,'🎯 一鍵查詢'!$C$5),"")</f>
        <v/>
      </c>
    </row>
    <row r="2220">
      <c r="A2220" t="n">
        <v>89962</v>
      </c>
      <c r="B2220" t="n">
        <v>8996</v>
      </c>
      <c r="C2220">
        <f>IF(B2220='🎯 一鍵查詢'!$C$5,COUNTIF($B$2:B2220,'🎯 一鍵查詢'!$C$5),"")</f>
        <v/>
      </c>
    </row>
    <row r="2221">
      <c r="A2221" t="n">
        <v>89963</v>
      </c>
      <c r="B2221" t="n">
        <v>8996</v>
      </c>
      <c r="C2221">
        <f>IF(B2221='🎯 一鍵查詢'!$C$5,COUNTIF($B$2:B2221,'🎯 一鍵查詢'!$C$5),"")</f>
        <v/>
      </c>
    </row>
    <row r="2222">
      <c r="A2222" t="n">
        <v>89964</v>
      </c>
      <c r="B2222" t="n">
        <v>8996</v>
      </c>
      <c r="C2222">
        <f>IF(B2222='🎯 一鍵查詢'!$C$5,COUNTIF($B$2:B2222,'🎯 一鍵查詢'!$C$5),"")</f>
        <v/>
      </c>
    </row>
    <row r="2223">
      <c r="A2223" t="n">
        <v>98021</v>
      </c>
      <c r="B2223" t="n">
        <v>9802</v>
      </c>
      <c r="C2223">
        <f>IF(B2223='🎯 一鍵查詢'!$C$5,COUNTIF($B$2:B2223,'🎯 一鍵查詢'!$C$5),"")</f>
        <v/>
      </c>
    </row>
    <row r="2224">
      <c r="A2224" t="n">
        <v>98022</v>
      </c>
      <c r="B2224" t="n">
        <v>9802</v>
      </c>
      <c r="C2224">
        <f>IF(B2224='🎯 一鍵查詢'!$C$5,COUNTIF($B$2:B2224,'🎯 一鍵查詢'!$C$5),"")</f>
        <v/>
      </c>
    </row>
    <row r="2225">
      <c r="A2225" t="n">
        <v>98023</v>
      </c>
      <c r="B2225" t="n">
        <v>9802</v>
      </c>
      <c r="C2225">
        <f>IF(B2225='🎯 一鍵查詢'!$C$5,COUNTIF($B$2:B2225,'🎯 一鍵查詢'!$C$5),"")</f>
        <v/>
      </c>
    </row>
    <row r="2226">
      <c r="A2226" t="n">
        <v>98024</v>
      </c>
      <c r="B2226" t="n">
        <v>9802</v>
      </c>
      <c r="C2226">
        <f>IF(B2226='🎯 一鍵查詢'!$C$5,COUNTIF($B$2:B2226,'🎯 一鍵查詢'!$C$5),"")</f>
        <v/>
      </c>
    </row>
    <row r="2227">
      <c r="A2227" t="n">
        <v>98025</v>
      </c>
      <c r="B2227" t="n">
        <v>9802</v>
      </c>
      <c r="C2227">
        <f>IF(B2227='🎯 一鍵查詢'!$C$5,COUNTIF($B$2:B2227,'🎯 一鍵查詢'!$C$5),"")</f>
        <v/>
      </c>
    </row>
    <row r="2228">
      <c r="A2228" t="n">
        <v>98026</v>
      </c>
      <c r="B2228" t="n">
        <v>9802</v>
      </c>
      <c r="C2228">
        <f>IF(B2228='🎯 一鍵查詢'!$C$5,COUNTIF($B$2:B2228,'🎯 一鍵查詢'!$C$5),"")</f>
        <v/>
      </c>
    </row>
    <row r="2229">
      <c r="A2229" t="n">
        <v>99061</v>
      </c>
      <c r="B2229" t="n">
        <v>9906</v>
      </c>
      <c r="C2229">
        <f>IF(B2229='🎯 一鍵查詢'!$C$5,COUNTIF($B$2:B2229,'🎯 一鍵查詢'!$C$5),"")</f>
        <v/>
      </c>
    </row>
    <row r="2230">
      <c r="A2230" t="n">
        <v>99062</v>
      </c>
      <c r="B2230" t="n">
        <v>9906</v>
      </c>
      <c r="C2230">
        <f>IF(B2230='🎯 一鍵查詢'!$C$5,COUNTIF($B$2:B2230,'🎯 一鍵查詢'!$C$5),"")</f>
        <v/>
      </c>
    </row>
    <row r="2231">
      <c r="A2231" t="n">
        <v>99063</v>
      </c>
      <c r="B2231" t="n">
        <v>9906</v>
      </c>
      <c r="C2231">
        <f>IF(B2231='🎯 一鍵查詢'!$C$5,COUNTIF($B$2:B2231,'🎯 一鍵查詢'!$C$5),"")</f>
        <v/>
      </c>
    </row>
    <row r="2232">
      <c r="A2232" t="n">
        <v>99211</v>
      </c>
      <c r="B2232" t="n">
        <v>9921</v>
      </c>
      <c r="C2232">
        <f>IF(B2232='🎯 一鍵查詢'!$C$5,COUNTIF($B$2:B2232,'🎯 一鍵查詢'!$C$5),"")</f>
        <v/>
      </c>
    </row>
    <row r="2233">
      <c r="A2233" t="n">
        <v>99242</v>
      </c>
      <c r="B2233" t="n">
        <v>9924</v>
      </c>
      <c r="C2233">
        <f>IF(B2233='🎯 一鍵查詢'!$C$5,COUNTIF($B$2:B2233,'🎯 一鍵查詢'!$C$5),"")</f>
        <v/>
      </c>
    </row>
    <row r="2234">
      <c r="A2234" t="n">
        <v>99271</v>
      </c>
      <c r="B2234" t="n">
        <v>9927</v>
      </c>
      <c r="C2234">
        <f>IF(B2234='🎯 一鍵查詢'!$C$5,COUNTIF($B$2:B2234,'🎯 一鍵查詢'!$C$5),"")</f>
        <v/>
      </c>
    </row>
    <row r="2235">
      <c r="A2235" t="n">
        <v>99272</v>
      </c>
      <c r="B2235" t="n">
        <v>9927</v>
      </c>
      <c r="C2235">
        <f>IF(B2235='🎯 一鍵查詢'!$C$5,COUNTIF($B$2:B2235,'🎯 一鍵查詢'!$C$5),"")</f>
        <v/>
      </c>
    </row>
    <row r="2236">
      <c r="A2236" t="n">
        <v>99331</v>
      </c>
      <c r="B2236" t="n">
        <v>9933</v>
      </c>
      <c r="C2236">
        <f>IF(B2236='🎯 一鍵查詢'!$C$5,COUNTIF($B$2:B2236,'🎯 一鍵查詢'!$C$5),"")</f>
        <v/>
      </c>
    </row>
    <row r="2237">
      <c r="A2237" t="n">
        <v>99332</v>
      </c>
      <c r="B2237" t="n">
        <v>9933</v>
      </c>
      <c r="C2237">
        <f>IF(B2237='🎯 一鍵查詢'!$C$5,COUNTIF($B$2:B2237,'🎯 一鍵查詢'!$C$5),"")</f>
        <v/>
      </c>
    </row>
    <row r="2238">
      <c r="A2238" t="n">
        <v>99341</v>
      </c>
      <c r="B2238" t="n">
        <v>9934</v>
      </c>
      <c r="C2238">
        <f>IF(B2238='🎯 一鍵查詢'!$C$5,COUNTIF($B$2:B2238,'🎯 一鍵查詢'!$C$5),"")</f>
        <v/>
      </c>
    </row>
    <row r="2239">
      <c r="A2239" t="n">
        <v>99342</v>
      </c>
      <c r="B2239" t="n">
        <v>9934</v>
      </c>
      <c r="C2239">
        <f>IF(B2239='🎯 一鍵查詢'!$C$5,COUNTIF($B$2:B2239,'🎯 一鍵查詢'!$C$5),"")</f>
        <v/>
      </c>
    </row>
    <row r="2240">
      <c r="A2240" t="n">
        <v>99351</v>
      </c>
      <c r="B2240" t="n">
        <v>9935</v>
      </c>
      <c r="C2240">
        <f>IF(B2240='🎯 一鍵查詢'!$C$5,COUNTIF($B$2:B2240,'🎯 一鍵查詢'!$C$5),"")</f>
        <v/>
      </c>
    </row>
    <row r="2241">
      <c r="A2241" t="n">
        <v>99352</v>
      </c>
      <c r="B2241" t="n">
        <v>9935</v>
      </c>
      <c r="C2241">
        <f>IF(B2241='🎯 一鍵查詢'!$C$5,COUNTIF($B$2:B2241,'🎯 一鍵查詢'!$C$5),"")</f>
        <v/>
      </c>
    </row>
    <row r="2242">
      <c r="A2242" t="n">
        <v>99353</v>
      </c>
      <c r="B2242" t="n">
        <v>9935</v>
      </c>
      <c r="C2242">
        <f>IF(B2242='🎯 一鍵查詢'!$C$5,COUNTIF($B$2:B2242,'🎯 一鍵查詢'!$C$5),"")</f>
        <v/>
      </c>
    </row>
    <row r="2243">
      <c r="A2243" t="n">
        <v>99381</v>
      </c>
      <c r="B2243" t="n">
        <v>9938</v>
      </c>
      <c r="C2243">
        <f>IF(B2243='🎯 一鍵查詢'!$C$5,COUNTIF($B$2:B2243,'🎯 一鍵查詢'!$C$5),"")</f>
        <v/>
      </c>
    </row>
    <row r="2244">
      <c r="A2244" t="n">
        <v>99392</v>
      </c>
      <c r="B2244" t="n">
        <v>9939</v>
      </c>
      <c r="C2244">
        <f>IF(B2244='🎯 一鍵查詢'!$C$5,COUNTIF($B$2:B2244,'🎯 一鍵查詢'!$C$5),"")</f>
        <v/>
      </c>
    </row>
    <row r="2245">
      <c r="A2245" t="n">
        <v>99411</v>
      </c>
      <c r="B2245" t="n">
        <v>9941</v>
      </c>
      <c r="C2245">
        <f>IF(B2245='🎯 一鍵查詢'!$C$5,COUNTIF($B$2:B2245,'🎯 一鍵查詢'!$C$5),"")</f>
        <v/>
      </c>
    </row>
    <row r="2246">
      <c r="A2246" t="n">
        <v>99412</v>
      </c>
      <c r="B2246" t="n">
        <v>9941</v>
      </c>
      <c r="C2246">
        <f>IF(B2246='🎯 一鍵查詢'!$C$5,COUNTIF($B$2:B2246,'🎯 一鍵查詢'!$C$5),"")</f>
        <v/>
      </c>
    </row>
    <row r="2247">
      <c r="A2247" t="n">
        <v>99421</v>
      </c>
      <c r="B2247" t="n">
        <v>9942</v>
      </c>
      <c r="C2247">
        <f>IF(B2247='🎯 一鍵查詢'!$C$5,COUNTIF($B$2:B2247,'🎯 一鍵查詢'!$C$5),"")</f>
        <v/>
      </c>
    </row>
    <row r="2248">
      <c r="A2248" t="n">
        <v>99441</v>
      </c>
      <c r="B2248" t="n">
        <v>9944</v>
      </c>
      <c r="C2248">
        <f>IF(B2248='🎯 一鍵查詢'!$C$5,COUNTIF($B$2:B2248,'🎯 一鍵查詢'!$C$5),"")</f>
        <v/>
      </c>
    </row>
    <row r="2249">
      <c r="A2249" t="n">
        <v>99442</v>
      </c>
      <c r="B2249" t="n">
        <v>9944</v>
      </c>
      <c r="C2249">
        <f>IF(B2249='🎯 一鍵查詢'!$C$5,COUNTIF($B$2:B2249,'🎯 一鍵查詢'!$C$5),"")</f>
        <v/>
      </c>
    </row>
    <row r="2250">
      <c r="A2250" t="n">
        <v>99461</v>
      </c>
      <c r="B2250" t="n">
        <v>9946</v>
      </c>
      <c r="C2250">
        <f>IF(B2250='🎯 一鍵查詢'!$C$5,COUNTIF($B$2:B2250,'🎯 一鍵查詢'!$C$5),"")</f>
        <v/>
      </c>
    </row>
    <row r="2251">
      <c r="A2251" t="n">
        <v>99551</v>
      </c>
      <c r="B2251" t="n">
        <v>9955</v>
      </c>
      <c r="C2251">
        <f>IF(B2251='🎯 一鍵查詢'!$C$5,COUNTIF($B$2:B2251,'🎯 一鍵查詢'!$C$5),"")</f>
        <v/>
      </c>
    </row>
    <row r="2252">
      <c r="A2252" t="n">
        <v>99552</v>
      </c>
      <c r="B2252" t="n">
        <v>9955</v>
      </c>
      <c r="C2252">
        <f>IF(B2252='🎯 一鍵查詢'!$C$5,COUNTIF($B$2:B2252,'🎯 一鍵查詢'!$C$5),"")</f>
        <v/>
      </c>
    </row>
    <row r="2253">
      <c r="A2253" t="n">
        <v>99553</v>
      </c>
      <c r="B2253" t="n">
        <v>9955</v>
      </c>
      <c r="C2253">
        <f>IF(B2253='🎯 一鍵查詢'!$C$5,COUNTIF($B$2:B2253,'🎯 一鍵查詢'!$C$5),"")</f>
        <v/>
      </c>
    </row>
    <row r="2254">
      <c r="A2254" t="n">
        <v>99581</v>
      </c>
      <c r="B2254" t="n">
        <v>9958</v>
      </c>
      <c r="C2254">
        <f>IF(B2254='🎯 一鍵查詢'!$C$5,COUNTIF($B$2:B2254,'🎯 一鍵查詢'!$C$5),"")</f>
        <v/>
      </c>
    </row>
    <row r="2255">
      <c r="A2255" t="n">
        <v>99582</v>
      </c>
      <c r="B2255" t="n">
        <v>9958</v>
      </c>
      <c r="C2255">
        <f>IF(B2255='🎯 一鍵查詢'!$C$5,COUNTIF($B$2:B2255,'🎯 一鍵查詢'!$C$5),"")</f>
        <v/>
      </c>
    </row>
    <row r="2256">
      <c r="A2256" t="n">
        <v>99583</v>
      </c>
      <c r="B2256" t="n">
        <v>9958</v>
      </c>
      <c r="C2256">
        <f>IF(B2256='🎯 一鍵查詢'!$C$5,COUNTIF($B$2:B2256,'🎯 一鍵查詢'!$C$5),"")</f>
        <v/>
      </c>
    </row>
    <row r="2257">
      <c r="A2257" t="n">
        <v>99584</v>
      </c>
      <c r="B2257" t="n">
        <v>9958</v>
      </c>
      <c r="C2257">
        <f>IF(B2257='🎯 一鍵查詢'!$C$5,COUNTIF($B$2:B2257,'🎯 一鍵查詢'!$C$5),"")</f>
        <v/>
      </c>
    </row>
    <row r="2258">
      <c r="A2258" t="n">
        <v>99585</v>
      </c>
      <c r="B2258" t="n">
        <v>9958</v>
      </c>
      <c r="C2258">
        <f>IF(B2258='🎯 一鍵查詢'!$C$5,COUNTIF($B$2:B2258,'🎯 一鍵查詢'!$C$5),"")</f>
        <v/>
      </c>
    </row>
    <row r="2259">
      <c r="A2259" t="n">
        <v>99586</v>
      </c>
      <c r="B2259" t="n">
        <v>9958</v>
      </c>
      <c r="C2259">
        <f>IF(B2259='🎯 一鍵查詢'!$C$5,COUNTIF($B$2:B2259,'🎯 一鍵查詢'!$C$5),"")</f>
        <v/>
      </c>
    </row>
    <row r="2260">
      <c r="A2260" t="n">
        <v>99587</v>
      </c>
      <c r="B2260" t="n">
        <v>9958</v>
      </c>
      <c r="C2260">
        <f>IF(B2260='🎯 一鍵查詢'!$C$5,COUNTIF($B$2:B2260,'🎯 一鍵查詢'!$C$5),"")</f>
        <v/>
      </c>
    </row>
    <row r="2261">
      <c r="A2261" t="n">
        <v>99588</v>
      </c>
      <c r="B2261" t="n">
        <v>9958</v>
      </c>
      <c r="C2261">
        <f>IF(B2261='🎯 一鍵查詢'!$C$5,COUNTIF($B$2:B2261,'🎯 一鍵查詢'!$C$5),"")</f>
        <v/>
      </c>
    </row>
    <row r="2262">
      <c r="A2262" t="n">
        <v>140201</v>
      </c>
      <c r="B2262" t="n">
        <v>1102</v>
      </c>
      <c r="C2262">
        <f>IF(B2262='🎯 一鍵查詢'!$C$5,COUNTIF($B$2:B2262,'🎯 一鍵查詢'!$C$5),"")</f>
        <v/>
      </c>
    </row>
    <row r="2263">
      <c r="A2263" t="n">
        <v>140202</v>
      </c>
      <c r="B2263" t="n">
        <v>2903</v>
      </c>
      <c r="C2263">
        <f>IF(B2263='🎯 一鍵查詢'!$C$5,COUNTIF($B$2:B2263,'🎯 一鍵查詢'!$C$5),"")</f>
        <v/>
      </c>
    </row>
    <row r="2264">
      <c r="A2264" t="n">
        <v>171501</v>
      </c>
      <c r="B2264" t="n">
        <v>1715</v>
      </c>
      <c r="C2264">
        <f>IF(B2264='🎯 一鍵查詢'!$C$5,COUNTIF($B$2:B2264,'🎯 一鍵查詢'!$C$5),"")</f>
        <v/>
      </c>
    </row>
    <row r="2265">
      <c r="A2265" t="n">
        <v>233201</v>
      </c>
      <c r="B2265" t="n">
        <v>2332</v>
      </c>
      <c r="C2265">
        <f>IF(B2265='🎯 一鍵查詢'!$C$5,COUNTIF($B$2:B2265,'🎯 一鍵查詢'!$C$5),"")</f>
        <v/>
      </c>
    </row>
    <row r="2266">
      <c r="A2266" t="n">
        <v>235201</v>
      </c>
      <c r="B2266" t="n">
        <v>2352</v>
      </c>
      <c r="C2266">
        <f>IF(B2266='🎯 一鍵查詢'!$C$5,COUNTIF($B$2:B2266,'🎯 一鍵查詢'!$C$5),"")</f>
        <v/>
      </c>
    </row>
    <row r="2267">
      <c r="A2267" t="n">
        <v>240601</v>
      </c>
      <c r="B2267" t="n">
        <v>2406</v>
      </c>
      <c r="C2267">
        <f>IF(B2267='🎯 一鍵查詢'!$C$5,COUNTIF($B$2:B2267,'🎯 一鍵查詢'!$C$5),"")</f>
        <v/>
      </c>
    </row>
    <row r="2268">
      <c r="A2268" t="n">
        <v>240602</v>
      </c>
      <c r="B2268" t="n">
        <v>2406</v>
      </c>
      <c r="C2268">
        <f>IF(B2268='🎯 一鍵查詢'!$C$5,COUNTIF($B$2:B2268,'🎯 一鍵查詢'!$C$5),"")</f>
        <v/>
      </c>
    </row>
    <row r="2269">
      <c r="A2269" t="n">
        <v>260301</v>
      </c>
      <c r="B2269" t="n">
        <v>2603</v>
      </c>
      <c r="C2269">
        <f>IF(B2269='🎯 一鍵查詢'!$C$5,COUNTIF($B$2:B2269,'🎯 一鍵查詢'!$C$5),"")</f>
        <v/>
      </c>
    </row>
    <row r="2270">
      <c r="A2270" t="n">
        <v>288601</v>
      </c>
      <c r="B2270" t="n">
        <v>2886</v>
      </c>
      <c r="C2270">
        <f>IF(B2270='🎯 一鍵查詢'!$C$5,COUNTIF($B$2:B2270,'🎯 一鍵查詢'!$C$5),"")</f>
        <v/>
      </c>
    </row>
    <row r="2271">
      <c r="A2271" t="n">
        <v>288602</v>
      </c>
      <c r="B2271" t="n">
        <v>2886</v>
      </c>
      <c r="C2271">
        <f>IF(B2271='🎯 一鍵查詢'!$C$5,COUNTIF($B$2:B2271,'🎯 一鍵查詢'!$C$5),"")</f>
        <v/>
      </c>
    </row>
    <row r="2272">
      <c r="A2272" t="n">
        <v>288701</v>
      </c>
      <c r="B2272" t="n">
        <v>2887</v>
      </c>
      <c r="C2272">
        <f>IF(B2272='🎯 一鍵查詢'!$C$5,COUNTIF($B$2:B2272,'🎯 一鍵查詢'!$C$5),"")</f>
        <v/>
      </c>
    </row>
    <row r="2273">
      <c r="A2273" t="n">
        <v>370201</v>
      </c>
      <c r="B2273" t="n">
        <v>3036</v>
      </c>
      <c r="C2273">
        <f>IF(B2273='🎯 一鍵查詢'!$C$5,COUNTIF($B$2:B2273,'🎯 一鍵查詢'!$C$5),"")</f>
        <v/>
      </c>
    </row>
    <row r="2274">
      <c r="A2274" t="n">
        <v>629010</v>
      </c>
      <c r="B2274" t="n">
        <v>6290</v>
      </c>
      <c r="C2274">
        <f>IF(B2274='🎯 一鍵查詢'!$C$5,COUNTIF($B$2:B2274,'🎯 一鍵查詢'!$C$5),"")</f>
        <v/>
      </c>
    </row>
    <row r="2275">
      <c r="A2275" t="n">
        <v>811210</v>
      </c>
      <c r="B2275" t="n">
        <v>8112</v>
      </c>
      <c r="C2275">
        <f>IF(B2275='🎯 一鍵查詢'!$C$5,COUNTIF($B$2:B2275,'🎯 一鍵查詢'!$C$5),"")</f>
        <v/>
      </c>
    </row>
    <row r="2276">
      <c r="A2276" t="n">
        <v>81114</v>
      </c>
      <c r="B2276" t="n">
        <v>8111</v>
      </c>
      <c r="C2276">
        <f>IF(B2276='🎯 一鍵查詢'!$C$5,COUNTIF($B$2:B2276,'🎯 一鍵查詢'!$C$5),"")</f>
        <v/>
      </c>
    </row>
    <row r="2277">
      <c r="A2277" t="n">
        <v>84762</v>
      </c>
      <c r="B2277" t="n">
        <v>8476</v>
      </c>
      <c r="C2277">
        <f>IF(B2277='🎯 一鍵查詢'!$C$5,COUNTIF($B$2:B2277,'🎯 一鍵查詢'!$C$5),"")</f>
        <v/>
      </c>
    </row>
    <row r="2278">
      <c r="A2278" t="n">
        <v>31352</v>
      </c>
      <c r="B2278" t="n">
        <v>3135</v>
      </c>
      <c r="C2278">
        <f>IF(B2278='🎯 一鍵查詢'!$C$5,COUNTIF($B$2:B2278,'🎯 一鍵查詢'!$C$5),"")</f>
        <v/>
      </c>
    </row>
    <row r="2279">
      <c r="A2279" t="n">
        <v>36805</v>
      </c>
      <c r="B2279" t="n">
        <v>3680</v>
      </c>
      <c r="C2279">
        <f>IF(B2279='🎯 一鍵查詢'!$C$5,COUNTIF($B$2:B2279,'🎯 一鍵查詢'!$C$5),"")</f>
        <v/>
      </c>
    </row>
    <row r="2280">
      <c r="A2280" t="n">
        <v>36806</v>
      </c>
      <c r="B2280" t="n">
        <v>3680</v>
      </c>
      <c r="C2280">
        <f>IF(B2280='🎯 一鍵查詢'!$C$5,COUNTIF($B$2:B2280,'🎯 一鍵查詢'!$C$5),"")</f>
        <v/>
      </c>
    </row>
    <row r="2281">
      <c r="A2281" t="n">
        <v>41238</v>
      </c>
      <c r="B2281" t="n">
        <v>4123</v>
      </c>
      <c r="C2281">
        <f>IF(B2281='🎯 一鍵查詢'!$C$5,COUNTIF($B$2:B2281,'🎯 一鍵查詢'!$C$5),"")</f>
        <v/>
      </c>
    </row>
    <row r="2282">
      <c r="A2282" t="n">
        <v>41239</v>
      </c>
      <c r="B2282" t="n">
        <v>4123</v>
      </c>
      <c r="C2282">
        <f>IF(B2282='🎯 一鍵查詢'!$C$5,COUNTIF($B$2:B2282,'🎯 一鍵查詢'!$C$5),"")</f>
        <v/>
      </c>
    </row>
    <row r="2283">
      <c r="A2283" t="n">
        <v>45031</v>
      </c>
      <c r="B2283" t="n">
        <v>4503</v>
      </c>
      <c r="C2283">
        <f>IF(B2283='🎯 一鍵查詢'!$C$5,COUNTIF($B$2:B2283,'🎯 一鍵查詢'!$C$5),"")</f>
        <v/>
      </c>
    </row>
    <row r="2284">
      <c r="A2284" t="n">
        <v>47148</v>
      </c>
      <c r="B2284" t="n">
        <v>4714</v>
      </c>
      <c r="C2284">
        <f>IF(B2284='🎯 一鍵查詢'!$C$5,COUNTIF($B$2:B2284,'🎯 一鍵查詢'!$C$5),"")</f>
        <v/>
      </c>
    </row>
    <row r="2285">
      <c r="A2285" t="n">
        <v>47224</v>
      </c>
      <c r="B2285" t="n">
        <v>4722</v>
      </c>
      <c r="C2285">
        <f>IF(B2285='🎯 一鍵查詢'!$C$5,COUNTIF($B$2:B2285,'🎯 一鍵查詢'!$C$5),"")</f>
        <v/>
      </c>
    </row>
    <row r="2286">
      <c r="A2286" t="n">
        <v>47491</v>
      </c>
      <c r="B2286" t="n">
        <v>4749</v>
      </c>
      <c r="C2286">
        <f>IF(B2286='🎯 一鍵查詢'!$C$5,COUNTIF($B$2:B2286,'🎯 一鍵查詢'!$C$5),"")</f>
        <v/>
      </c>
    </row>
    <row r="2287">
      <c r="A2287" t="n">
        <v>47602</v>
      </c>
      <c r="B2287" t="n">
        <v>4760</v>
      </c>
      <c r="C2287">
        <f>IF(B2287='🎯 一鍵查詢'!$C$5,COUNTIF($B$2:B2287,'🎯 一鍵查詢'!$C$5),"")</f>
        <v/>
      </c>
    </row>
    <row r="2288">
      <c r="A2288" t="n">
        <v>49311</v>
      </c>
      <c r="B2288" t="n">
        <v>4931</v>
      </c>
      <c r="C2288">
        <f>IF(B2288='🎯 一鍵查詢'!$C$5,COUNTIF($B$2:B2288,'🎯 一鍵查詢'!$C$5),"")</f>
        <v/>
      </c>
    </row>
    <row r="2289">
      <c r="A2289" t="n">
        <v>52844</v>
      </c>
      <c r="B2289" t="n">
        <v>5284</v>
      </c>
      <c r="C2289">
        <f>IF(B2289='🎯 一鍵查詢'!$C$5,COUNTIF($B$2:B2289,'🎯 一鍵查詢'!$C$5),"")</f>
        <v/>
      </c>
    </row>
    <row r="2290">
      <c r="A2290" t="n">
        <v>52845</v>
      </c>
      <c r="B2290" t="n">
        <v>5284</v>
      </c>
      <c r="C2290">
        <f>IF(B2290='🎯 一鍵查詢'!$C$5,COUNTIF($B$2:B2290,'🎯 一鍵查詢'!$C$5),"")</f>
        <v/>
      </c>
    </row>
    <row r="2291">
      <c r="A2291" t="n">
        <v>54642</v>
      </c>
      <c r="B2291" t="n">
        <v>5464</v>
      </c>
      <c r="C2291">
        <f>IF(B2291='🎯 一鍵查詢'!$C$5,COUNTIF($B$2:B2291,'🎯 一鍵查詢'!$C$5),"")</f>
        <v/>
      </c>
    </row>
    <row r="2292">
      <c r="A2292" t="n">
        <v>66034</v>
      </c>
      <c r="B2292" t="n">
        <v>6603</v>
      </c>
      <c r="C2292">
        <f>IF(B2292='🎯 一鍵查詢'!$C$5,COUNTIF($B$2:B2292,'🎯 一鍵查詢'!$C$5),"")</f>
        <v/>
      </c>
    </row>
    <row r="2293">
      <c r="A2293" t="n">
        <v>68032</v>
      </c>
      <c r="B2293" t="n">
        <v>6803</v>
      </c>
      <c r="C2293">
        <f>IF(B2293='🎯 一鍵查詢'!$C$5,COUNTIF($B$2:B2293,'🎯 一鍵查詢'!$C$5),"")</f>
        <v/>
      </c>
    </row>
    <row r="2294">
      <c r="A2294" t="n">
        <v>76101</v>
      </c>
      <c r="B2294" t="n">
        <v>7610</v>
      </c>
      <c r="C2294">
        <f>IF(B2294='🎯 一鍵查詢'!$C$5,COUNTIF($B$2:B2294,'🎯 一鍵查詢'!$C$5),"")</f>
        <v/>
      </c>
    </row>
    <row r="2295">
      <c r="A2295" t="n">
        <v>80746</v>
      </c>
      <c r="B2295" t="n">
        <v>8074</v>
      </c>
      <c r="C2295">
        <f>IF(B2295='🎯 一鍵查詢'!$C$5,COUNTIF($B$2:B2295,'🎯 一鍵查詢'!$C$5),"")</f>
        <v/>
      </c>
    </row>
    <row r="2296">
      <c r="A2296" t="n">
        <v>82711</v>
      </c>
      <c r="B2296" t="n">
        <v>8271</v>
      </c>
      <c r="C2296">
        <f>IF(B2296='🎯 一鍵查詢'!$C$5,COUNTIF($B$2:B2296,'🎯 一鍵查詢'!$C$5),"")</f>
        <v/>
      </c>
    </row>
    <row r="2297">
      <c r="A2297" t="n">
        <v>84624</v>
      </c>
      <c r="B2297" t="n">
        <v>8462</v>
      </c>
      <c r="C2297">
        <f>IF(B2297='🎯 一鍵查詢'!$C$5,COUNTIF($B$2:B2297,'🎯 一鍵查詢'!$C$5),"")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97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代號</t>
        </is>
      </c>
      <c r="B1" s="33" t="inlineStr">
        <is>
          <t>名稱</t>
        </is>
      </c>
      <c r="C1" s="33" t="inlineStr">
        <is>
          <t>掛牌最高</t>
        </is>
      </c>
      <c r="D1" s="33" t="inlineStr">
        <is>
          <t>掛牌最低</t>
        </is>
      </c>
      <c r="E1" s="33" t="inlineStr">
        <is>
          <t>異動</t>
        </is>
      </c>
      <c r="F1" s="33" t="inlineStr">
        <is>
          <t>月變化%</t>
        </is>
      </c>
    </row>
    <row r="2">
      <c r="A2" t="n">
        <v>11011</v>
      </c>
      <c r="B2" t="inlineStr">
        <is>
          <t>台泥一永</t>
        </is>
      </c>
      <c r="C2" t="n">
        <v>108.1</v>
      </c>
      <c r="D2" t="n">
        <v>94.40000000000001</v>
      </c>
    </row>
    <row r="3">
      <c r="A3" t="n">
        <v>12101</v>
      </c>
      <c r="B3" t="inlineStr">
        <is>
          <t>大成一</t>
        </is>
      </c>
      <c r="C3" t="n">
        <v>127</v>
      </c>
      <c r="D3" t="n">
        <v>72.5</v>
      </c>
    </row>
    <row r="4">
      <c r="A4" t="n">
        <v>12161</v>
      </c>
      <c r="B4" t="inlineStr">
        <is>
          <t>統一一</t>
        </is>
      </c>
      <c r="C4" t="n">
        <v>106.75</v>
      </c>
      <c r="D4" t="n">
        <v>91.2</v>
      </c>
    </row>
    <row r="5">
      <c r="A5" t="n">
        <v>12171</v>
      </c>
      <c r="B5" t="inlineStr">
        <is>
          <t>愛之味一</t>
        </is>
      </c>
      <c r="C5" t="n">
        <v>123</v>
      </c>
      <c r="D5" t="n">
        <v>100</v>
      </c>
    </row>
    <row r="6">
      <c r="A6" t="n">
        <v>12172</v>
      </c>
      <c r="B6" t="inlineStr">
        <is>
          <t>愛之味二</t>
        </is>
      </c>
      <c r="C6" t="n">
        <v>112</v>
      </c>
      <c r="D6" t="n">
        <v>89</v>
      </c>
    </row>
    <row r="7">
      <c r="A7" t="n">
        <v>12173</v>
      </c>
      <c r="B7" t="inlineStr">
        <is>
          <t>愛之味三</t>
        </is>
      </c>
      <c r="C7" t="n">
        <v>105</v>
      </c>
      <c r="D7" t="n">
        <v>99.59999999999999</v>
      </c>
    </row>
    <row r="8">
      <c r="A8" t="n">
        <v>12181</v>
      </c>
      <c r="B8" t="inlineStr">
        <is>
          <t>泰山一</t>
        </is>
      </c>
      <c r="C8" t="n">
        <v>109.9</v>
      </c>
      <c r="D8" t="n">
        <v>99</v>
      </c>
    </row>
    <row r="9">
      <c r="A9" t="n">
        <v>12251</v>
      </c>
      <c r="B9" t="inlineStr">
        <is>
          <t>福脂一</t>
        </is>
      </c>
      <c r="C9" t="n">
        <v>233</v>
      </c>
      <c r="D9" t="n">
        <v>101</v>
      </c>
    </row>
    <row r="10">
      <c r="A10" t="n">
        <v>12561</v>
      </c>
      <c r="B10" t="inlineStr">
        <is>
          <t>鮮活果汁一KY</t>
        </is>
      </c>
      <c r="C10" t="n">
        <v>109</v>
      </c>
      <c r="D10" t="n">
        <v>94.55</v>
      </c>
      <c r="E10" t="inlineStr">
        <is>
          <t>H</t>
        </is>
      </c>
      <c r="F10" s="208" t="n">
        <v>0.04807692307692308</v>
      </c>
    </row>
    <row r="11">
      <c r="A11" t="n">
        <v>12581</v>
      </c>
      <c r="B11" t="inlineStr">
        <is>
          <t>其祥一KY</t>
        </is>
      </c>
      <c r="C11" t="n">
        <v>124.25</v>
      </c>
      <c r="D11" t="n">
        <v>99.09999999999999</v>
      </c>
    </row>
    <row r="12">
      <c r="A12" t="n">
        <v>12582</v>
      </c>
      <c r="B12" t="inlineStr">
        <is>
          <t>其祥二KY</t>
        </is>
      </c>
      <c r="C12" t="n">
        <v>101.3</v>
      </c>
      <c r="D12" t="n">
        <v>76.2</v>
      </c>
    </row>
    <row r="13">
      <c r="A13" t="n">
        <v>13121</v>
      </c>
      <c r="B13" t="inlineStr">
        <is>
          <t xml:space="preserve">國喬一    </t>
        </is>
      </c>
      <c r="C13" t="n">
        <v>171</v>
      </c>
      <c r="D13" t="n">
        <v>90</v>
      </c>
    </row>
    <row r="14">
      <c r="A14" t="n">
        <v>13161</v>
      </c>
      <c r="B14" t="inlineStr">
        <is>
          <t>上曜一</t>
        </is>
      </c>
      <c r="C14" t="n">
        <v>122</v>
      </c>
      <c r="D14" t="n">
        <v>99.65000000000001</v>
      </c>
    </row>
    <row r="15">
      <c r="A15" t="n">
        <v>13162</v>
      </c>
      <c r="B15" t="inlineStr">
        <is>
          <t>上曜二</t>
        </is>
      </c>
      <c r="C15" t="n">
        <v>177</v>
      </c>
      <c r="D15" t="n">
        <v>104</v>
      </c>
    </row>
    <row r="16">
      <c r="A16" t="n">
        <v>13163</v>
      </c>
      <c r="B16" t="inlineStr">
        <is>
          <t>上曜三</t>
        </is>
      </c>
      <c r="C16" t="n">
        <v>117.95</v>
      </c>
      <c r="D16" t="n">
        <v>99.59999999999999</v>
      </c>
    </row>
    <row r="17">
      <c r="A17" t="n">
        <v>13164</v>
      </c>
      <c r="B17" t="inlineStr">
        <is>
          <t>上曜四</t>
        </is>
      </c>
      <c r="C17" t="n">
        <v>189</v>
      </c>
      <c r="D17" t="n">
        <v>99.5</v>
      </c>
    </row>
    <row r="18">
      <c r="A18" t="n">
        <v>13165</v>
      </c>
      <c r="B18" t="inlineStr">
        <is>
          <t>上曜五</t>
        </is>
      </c>
      <c r="C18" t="n">
        <v>232</v>
      </c>
      <c r="D18" t="n">
        <v>99.59999999999999</v>
      </c>
    </row>
    <row r="19">
      <c r="A19" t="n">
        <v>13166</v>
      </c>
      <c r="B19" t="inlineStr">
        <is>
          <t>上曜六</t>
        </is>
      </c>
      <c r="C19" t="n">
        <v>125.5</v>
      </c>
      <c r="D19" t="n">
        <v>102.8</v>
      </c>
    </row>
    <row r="20">
      <c r="A20" t="n">
        <v>13191</v>
      </c>
      <c r="B20" t="inlineStr">
        <is>
          <t>東陽一</t>
        </is>
      </c>
      <c r="C20" t="n">
        <v>115</v>
      </c>
      <c r="D20" t="n">
        <v>95.40000000000001</v>
      </c>
    </row>
    <row r="21">
      <c r="A21" t="n">
        <v>13361</v>
      </c>
      <c r="B21" t="inlineStr">
        <is>
          <t>台翰一</t>
        </is>
      </c>
      <c r="C21" t="n">
        <v>116</v>
      </c>
      <c r="D21" t="n">
        <v>101.1</v>
      </c>
    </row>
    <row r="22">
      <c r="A22" t="n">
        <v>13371</v>
      </c>
      <c r="B22" t="inlineStr">
        <is>
          <t>再生一</t>
        </is>
      </c>
      <c r="C22" t="n">
        <v>120.5</v>
      </c>
      <c r="D22" t="n">
        <v>82.95</v>
      </c>
    </row>
    <row r="23">
      <c r="A23" t="n">
        <v>13381</v>
      </c>
      <c r="B23" t="inlineStr">
        <is>
          <t>廣華一KY</t>
        </is>
      </c>
      <c r="C23" t="n">
        <v>117</v>
      </c>
      <c r="D23" t="n">
        <v>97.09999999999999</v>
      </c>
    </row>
    <row r="24">
      <c r="A24" t="n">
        <v>13382</v>
      </c>
      <c r="B24" t="inlineStr">
        <is>
          <t>廣華二KY</t>
        </is>
      </c>
      <c r="C24" t="n">
        <v>115.5</v>
      </c>
      <c r="D24" t="n">
        <v>89</v>
      </c>
    </row>
    <row r="25">
      <c r="A25" t="n">
        <v>13411</v>
      </c>
      <c r="B25" t="inlineStr">
        <is>
          <t>富林一KY</t>
        </is>
      </c>
      <c r="C25" t="n">
        <v>116.9</v>
      </c>
      <c r="D25" t="n">
        <v>100.8</v>
      </c>
    </row>
    <row r="26">
      <c r="A26" t="n">
        <v>13421</v>
      </c>
      <c r="B26" t="inlineStr">
        <is>
          <t>八貫一</t>
        </is>
      </c>
      <c r="C26" t="n">
        <v>243</v>
      </c>
      <c r="D26" t="n">
        <v>106.5</v>
      </c>
    </row>
    <row r="27">
      <c r="A27" t="n">
        <v>14093</v>
      </c>
      <c r="B27" t="inlineStr">
        <is>
          <t>新纖三</t>
        </is>
      </c>
      <c r="C27" t="n">
        <v>180</v>
      </c>
      <c r="D27" t="n">
        <v>77</v>
      </c>
    </row>
    <row r="28">
      <c r="A28" t="n">
        <v>14321</v>
      </c>
      <c r="B28" t="inlineStr">
        <is>
          <t>大魯閣一</t>
        </is>
      </c>
      <c r="C28" t="n">
        <v>119</v>
      </c>
      <c r="D28" t="n">
        <v>100.5</v>
      </c>
    </row>
    <row r="29">
      <c r="A29" t="n">
        <v>14322</v>
      </c>
      <c r="B29" t="inlineStr">
        <is>
          <t>大魯閣二</t>
        </is>
      </c>
      <c r="C29" t="n">
        <v>119.1</v>
      </c>
      <c r="D29" t="n">
        <v>92.3</v>
      </c>
    </row>
    <row r="30">
      <c r="A30" t="n">
        <v>14361</v>
      </c>
      <c r="B30" t="inlineStr">
        <is>
          <t>華友聯一</t>
        </is>
      </c>
      <c r="C30" t="n">
        <v>695</v>
      </c>
      <c r="D30" t="n">
        <v>106</v>
      </c>
    </row>
    <row r="31">
      <c r="A31" t="n">
        <v>14362</v>
      </c>
      <c r="B31" t="inlineStr">
        <is>
          <t>華友聯二</t>
        </is>
      </c>
      <c r="C31" t="n">
        <v>600</v>
      </c>
      <c r="D31" t="n">
        <v>111.1</v>
      </c>
    </row>
    <row r="32">
      <c r="A32" t="n">
        <v>14363</v>
      </c>
      <c r="B32" t="inlineStr">
        <is>
          <t>華友聯三</t>
        </is>
      </c>
      <c r="C32" t="n">
        <v>124.25</v>
      </c>
      <c r="D32" t="n">
        <v>93.59999999999999</v>
      </c>
    </row>
    <row r="33">
      <c r="A33" t="n">
        <v>14364</v>
      </c>
      <c r="B33" t="inlineStr">
        <is>
          <t>華友聯四</t>
        </is>
      </c>
      <c r="C33" t="n">
        <v>104.95</v>
      </c>
      <c r="D33" t="n">
        <v>92.5</v>
      </c>
    </row>
    <row r="34">
      <c r="A34" t="n">
        <v>14371</v>
      </c>
      <c r="B34" t="inlineStr">
        <is>
          <t>勤益一</t>
        </is>
      </c>
      <c r="C34" t="n">
        <v>266</v>
      </c>
      <c r="D34" t="n">
        <v>92</v>
      </c>
    </row>
    <row r="35">
      <c r="A35" t="n">
        <v>14381</v>
      </c>
      <c r="B35" t="inlineStr">
        <is>
          <t>三地開發一</t>
        </is>
      </c>
      <c r="C35" t="n">
        <v>134</v>
      </c>
      <c r="D35" t="n">
        <v>119</v>
      </c>
    </row>
    <row r="36">
      <c r="A36" t="n">
        <v>14422</v>
      </c>
      <c r="B36" t="inlineStr">
        <is>
          <t>名軒二</t>
        </is>
      </c>
      <c r="C36" t="n">
        <v>165</v>
      </c>
      <c r="D36" t="n">
        <v>105.55</v>
      </c>
    </row>
    <row r="37">
      <c r="A37" t="n">
        <v>14423</v>
      </c>
      <c r="B37" t="inlineStr">
        <is>
          <t>名軒三</t>
        </is>
      </c>
      <c r="C37" t="n">
        <v>188</v>
      </c>
      <c r="D37" t="n">
        <v>105</v>
      </c>
    </row>
    <row r="38">
      <c r="A38" t="n">
        <v>14571</v>
      </c>
      <c r="B38" t="inlineStr">
        <is>
          <t>宜進一</t>
        </is>
      </c>
      <c r="C38" t="n">
        <v>109.8</v>
      </c>
      <c r="D38" t="n">
        <v>90</v>
      </c>
    </row>
    <row r="39">
      <c r="A39" t="n">
        <v>14641</v>
      </c>
      <c r="B39" t="inlineStr">
        <is>
          <t>得力一</t>
        </is>
      </c>
      <c r="C39" t="n">
        <v>172</v>
      </c>
      <c r="D39" t="n">
        <v>107</v>
      </c>
    </row>
    <row r="40">
      <c r="A40" t="n">
        <v>14642</v>
      </c>
      <c r="B40" t="inlineStr">
        <is>
          <t>得力二</t>
        </is>
      </c>
      <c r="C40" t="n">
        <v>177</v>
      </c>
      <c r="D40" t="n">
        <v>103</v>
      </c>
    </row>
    <row r="41">
      <c r="A41" t="n">
        <v>14661</v>
      </c>
      <c r="B41" t="inlineStr">
        <is>
          <t>聚隆一</t>
        </is>
      </c>
      <c r="C41" t="n">
        <v>127</v>
      </c>
      <c r="D41" t="n">
        <v>98</v>
      </c>
    </row>
    <row r="42">
      <c r="A42" t="n">
        <v>14662</v>
      </c>
      <c r="B42" t="inlineStr">
        <is>
          <t>聚隆二</t>
        </is>
      </c>
      <c r="C42" t="n">
        <v>147.5</v>
      </c>
      <c r="D42" t="n">
        <v>102.75</v>
      </c>
    </row>
    <row r="43">
      <c r="A43" t="n">
        <v>14663</v>
      </c>
      <c r="B43" t="inlineStr">
        <is>
          <t>聚隆三</t>
        </is>
      </c>
      <c r="C43" t="n">
        <v>109</v>
      </c>
      <c r="D43" t="n">
        <v>98</v>
      </c>
    </row>
    <row r="44">
      <c r="A44" t="n">
        <v>14664</v>
      </c>
      <c r="B44" t="inlineStr">
        <is>
          <t>聚隆四</t>
        </is>
      </c>
      <c r="C44" t="n">
        <v>116.95</v>
      </c>
      <c r="D44" t="n">
        <v>103</v>
      </c>
    </row>
    <row r="45">
      <c r="A45" t="n">
        <v>14671</v>
      </c>
      <c r="B45" t="inlineStr">
        <is>
          <t>南緯一</t>
        </is>
      </c>
      <c r="C45" t="n">
        <v>142.2</v>
      </c>
      <c r="D45" t="n">
        <v>101.5</v>
      </c>
    </row>
    <row r="46">
      <c r="A46" t="n">
        <v>14721</v>
      </c>
      <c r="B46" t="inlineStr">
        <is>
          <t>三洋實業一</t>
        </is>
      </c>
      <c r="C46" t="n">
        <v>124.5</v>
      </c>
      <c r="D46" t="n">
        <v>99.09999999999999</v>
      </c>
    </row>
    <row r="47">
      <c r="A47" t="n">
        <v>14722</v>
      </c>
      <c r="B47" t="inlineStr">
        <is>
          <t>三洋實業二</t>
        </is>
      </c>
      <c r="C47" t="n">
        <v>110.3</v>
      </c>
      <c r="D47" t="n">
        <v>103.05</v>
      </c>
    </row>
    <row r="48">
      <c r="A48" t="n">
        <v>14723</v>
      </c>
      <c r="B48" t="inlineStr">
        <is>
          <t>三洋實業三</t>
        </is>
      </c>
      <c r="C48" t="n">
        <v>100</v>
      </c>
      <c r="D48" t="n">
        <v>94.25</v>
      </c>
      <c r="E48" t="inlineStr">
        <is>
          <t>H</t>
        </is>
      </c>
      <c r="F48" s="208" t="n">
        <v>0.005530417295123149</v>
      </c>
    </row>
    <row r="49">
      <c r="A49" t="n">
        <v>14741</v>
      </c>
      <c r="B49" t="inlineStr">
        <is>
          <t>弘裕一</t>
        </is>
      </c>
      <c r="C49" t="n">
        <v>125</v>
      </c>
      <c r="D49" t="n">
        <v>100</v>
      </c>
    </row>
    <row r="50">
      <c r="A50" t="n">
        <v>14742</v>
      </c>
      <c r="B50" t="inlineStr">
        <is>
          <t>弘裕二</t>
        </is>
      </c>
      <c r="C50" t="n">
        <v>117</v>
      </c>
      <c r="D50" t="n">
        <v>96</v>
      </c>
    </row>
    <row r="51">
      <c r="A51" t="n">
        <v>14743</v>
      </c>
      <c r="B51" t="inlineStr">
        <is>
          <t>弘裕三</t>
        </is>
      </c>
      <c r="C51" t="n">
        <v>99.95</v>
      </c>
      <c r="D51" t="n">
        <v>87.59999999999999</v>
      </c>
      <c r="E51" t="inlineStr">
        <is>
          <t>L</t>
        </is>
      </c>
      <c r="F51" s="208" t="n">
        <v>-0.02122905027932967</v>
      </c>
    </row>
    <row r="52">
      <c r="A52" t="n">
        <v>14771</v>
      </c>
      <c r="B52" t="inlineStr">
        <is>
          <t>聚陽一</t>
        </is>
      </c>
      <c r="C52" t="n">
        <v>386</v>
      </c>
      <c r="D52" t="n">
        <v>110</v>
      </c>
    </row>
    <row r="53">
      <c r="A53" t="n">
        <v>14772</v>
      </c>
      <c r="B53" t="inlineStr">
        <is>
          <t xml:space="preserve">聚陽二 </t>
        </is>
      </c>
      <c r="C53" t="n">
        <v>292</v>
      </c>
      <c r="D53" t="n">
        <v>100</v>
      </c>
    </row>
    <row r="54">
      <c r="A54" t="n">
        <v>14773</v>
      </c>
      <c r="B54" t="inlineStr">
        <is>
          <t>聚陽三</t>
        </is>
      </c>
      <c r="C54" t="n">
        <v>495</v>
      </c>
      <c r="D54" t="n">
        <v>106.5</v>
      </c>
    </row>
    <row r="55">
      <c r="A55" t="n">
        <v>14774</v>
      </c>
      <c r="B55" t="inlineStr">
        <is>
          <t>聚陽四</t>
        </is>
      </c>
      <c r="C55" t="n">
        <v>401</v>
      </c>
      <c r="D55" t="n">
        <v>106.2</v>
      </c>
    </row>
    <row r="56">
      <c r="A56" t="n">
        <v>15043</v>
      </c>
      <c r="B56" t="inlineStr">
        <is>
          <t>東元三</t>
        </is>
      </c>
      <c r="C56" t="n">
        <v>167</v>
      </c>
      <c r="D56" t="n">
        <v>99.05</v>
      </c>
    </row>
    <row r="57">
      <c r="A57" t="n">
        <v>15061</v>
      </c>
      <c r="B57" t="inlineStr">
        <is>
          <t>正道一</t>
        </is>
      </c>
      <c r="C57" t="n">
        <v>121</v>
      </c>
      <c r="D57" t="n">
        <v>96.95</v>
      </c>
    </row>
    <row r="58">
      <c r="A58" t="n">
        <v>15131</v>
      </c>
      <c r="B58" t="inlineStr">
        <is>
          <t>中興電一</t>
        </is>
      </c>
      <c r="C58" t="n">
        <v>213</v>
      </c>
      <c r="D58" t="n">
        <v>101</v>
      </c>
    </row>
    <row r="59">
      <c r="A59" t="n">
        <v>15132</v>
      </c>
      <c r="B59" t="inlineStr">
        <is>
          <t>中興電二</t>
        </is>
      </c>
      <c r="C59" t="n">
        <v>231</v>
      </c>
      <c r="D59" t="n">
        <v>106</v>
      </c>
    </row>
    <row r="60">
      <c r="A60" t="n">
        <v>15141</v>
      </c>
      <c r="B60" t="inlineStr">
        <is>
          <t>亞力一</t>
        </is>
      </c>
      <c r="C60" t="n">
        <v>276</v>
      </c>
      <c r="D60" t="n">
        <v>103.8</v>
      </c>
    </row>
    <row r="61">
      <c r="A61" t="n">
        <v>15142</v>
      </c>
      <c r="B61" t="inlineStr">
        <is>
          <t>亞力二</t>
        </is>
      </c>
      <c r="C61" t="n">
        <v>148</v>
      </c>
      <c r="D61" t="n">
        <v>99.45</v>
      </c>
      <c r="E61" t="inlineStr">
        <is>
          <t>H</t>
        </is>
      </c>
      <c r="F61" s="208" t="n">
        <v>0.05979233798782667</v>
      </c>
    </row>
    <row r="62">
      <c r="A62" t="n">
        <v>15151</v>
      </c>
      <c r="B62" t="inlineStr">
        <is>
          <t>力山一</t>
        </is>
      </c>
      <c r="C62" t="n">
        <v>131</v>
      </c>
      <c r="D62" t="n">
        <v>122</v>
      </c>
    </row>
    <row r="63">
      <c r="A63" t="n">
        <v>15221</v>
      </c>
      <c r="B63" t="inlineStr">
        <is>
          <t>堤維西一</t>
        </is>
      </c>
      <c r="C63" t="n">
        <v>142</v>
      </c>
      <c r="D63" t="n">
        <v>92</v>
      </c>
    </row>
    <row r="64">
      <c r="A64" t="n">
        <v>15241</v>
      </c>
      <c r="B64" t="inlineStr">
        <is>
          <t>耿鼎一</t>
        </is>
      </c>
      <c r="C64" t="n">
        <v>195</v>
      </c>
      <c r="D64" t="n">
        <v>103.2</v>
      </c>
    </row>
    <row r="65">
      <c r="A65" t="n">
        <v>15242</v>
      </c>
      <c r="B65" t="inlineStr">
        <is>
          <t>耿鼎二</t>
        </is>
      </c>
      <c r="C65" t="n">
        <v>100</v>
      </c>
      <c r="D65" t="n">
        <v>100</v>
      </c>
    </row>
    <row r="66">
      <c r="A66" t="n">
        <v>15243</v>
      </c>
      <c r="B66" t="inlineStr">
        <is>
          <t>耿鼎三</t>
        </is>
      </c>
      <c r="C66" t="n">
        <v>127</v>
      </c>
      <c r="D66" t="n">
        <v>101</v>
      </c>
    </row>
    <row r="67">
      <c r="A67" t="n">
        <v>15261</v>
      </c>
      <c r="B67" t="inlineStr">
        <is>
          <t>日馳一</t>
        </is>
      </c>
      <c r="C67" t="n">
        <v>104.8</v>
      </c>
      <c r="D67" t="n">
        <v>90.09999999999999</v>
      </c>
    </row>
    <row r="68">
      <c r="A68" t="n">
        <v>15281</v>
      </c>
      <c r="B68" t="inlineStr">
        <is>
          <t>恩德一</t>
        </is>
      </c>
      <c r="C68" t="n">
        <v>132</v>
      </c>
      <c r="D68" t="n">
        <v>78.3</v>
      </c>
    </row>
    <row r="69">
      <c r="A69" t="n">
        <v>15282</v>
      </c>
      <c r="B69" t="inlineStr">
        <is>
          <t>恩德二</t>
        </is>
      </c>
      <c r="C69" t="n">
        <v>149</v>
      </c>
      <c r="D69" t="n">
        <v>102</v>
      </c>
    </row>
    <row r="70">
      <c r="A70" t="n">
        <v>15291</v>
      </c>
      <c r="B70" t="inlineStr">
        <is>
          <t>樂士一</t>
        </is>
      </c>
      <c r="C70" t="n">
        <v>179</v>
      </c>
      <c r="D70" t="n">
        <v>52.3</v>
      </c>
    </row>
    <row r="71">
      <c r="A71" t="n">
        <v>15301</v>
      </c>
      <c r="B71" t="inlineStr">
        <is>
          <t>亞崴一</t>
        </is>
      </c>
      <c r="C71" t="n">
        <v>115</v>
      </c>
      <c r="D71" t="n">
        <v>103</v>
      </c>
    </row>
    <row r="72">
      <c r="A72" t="n">
        <v>15302</v>
      </c>
      <c r="B72" t="inlineStr">
        <is>
          <t>亞崴二</t>
        </is>
      </c>
      <c r="C72" t="n">
        <v>105</v>
      </c>
      <c r="D72" t="n">
        <v>98</v>
      </c>
    </row>
    <row r="73">
      <c r="A73" t="n">
        <v>15321</v>
      </c>
      <c r="B73" t="inlineStr">
        <is>
          <t>勤美一</t>
        </is>
      </c>
      <c r="C73" t="n">
        <v>225</v>
      </c>
      <c r="D73" t="n">
        <v>123</v>
      </c>
    </row>
    <row r="74">
      <c r="A74" t="n">
        <v>15322</v>
      </c>
      <c r="B74" t="inlineStr">
        <is>
          <t>勤美二</t>
        </is>
      </c>
      <c r="C74" t="n">
        <v>211</v>
      </c>
      <c r="D74" t="n">
        <v>102.5</v>
      </c>
    </row>
    <row r="75">
      <c r="A75" t="n">
        <v>15323</v>
      </c>
      <c r="B75" t="inlineStr">
        <is>
          <t>勤美三</t>
        </is>
      </c>
      <c r="C75" t="n">
        <v>338</v>
      </c>
      <c r="D75" t="n">
        <v>102</v>
      </c>
    </row>
    <row r="76">
      <c r="A76" t="n">
        <v>15324</v>
      </c>
      <c r="B76" t="inlineStr">
        <is>
          <t>勤美四</t>
        </is>
      </c>
      <c r="C76" t="n">
        <v>184</v>
      </c>
      <c r="D76" t="n">
        <v>99.75</v>
      </c>
    </row>
    <row r="77">
      <c r="A77" t="n">
        <v>15331</v>
      </c>
      <c r="B77" t="inlineStr">
        <is>
          <t>車王電一</t>
        </is>
      </c>
      <c r="C77" t="n">
        <v>132</v>
      </c>
      <c r="D77" t="n">
        <v>103</v>
      </c>
    </row>
    <row r="78">
      <c r="A78" t="n">
        <v>15332</v>
      </c>
      <c r="B78" t="inlineStr">
        <is>
          <t>車王電二</t>
        </is>
      </c>
      <c r="C78" t="n">
        <v>111</v>
      </c>
      <c r="D78" t="n">
        <v>93.5</v>
      </c>
    </row>
    <row r="79">
      <c r="A79" t="n">
        <v>15351</v>
      </c>
      <c r="B79" t="inlineStr">
        <is>
          <t>中宇一</t>
        </is>
      </c>
      <c r="C79" t="n">
        <v>164</v>
      </c>
      <c r="D79" t="n">
        <v>104</v>
      </c>
    </row>
    <row r="80">
      <c r="A80" t="n">
        <v>15361</v>
      </c>
      <c r="B80" t="inlineStr">
        <is>
          <t>和大一</t>
        </is>
      </c>
      <c r="C80" t="n">
        <v>231</v>
      </c>
      <c r="D80" t="n">
        <v>97.09999999999999</v>
      </c>
    </row>
    <row r="81">
      <c r="A81" t="n">
        <v>15362</v>
      </c>
      <c r="B81" t="inlineStr">
        <is>
          <t>和大二</t>
        </is>
      </c>
      <c r="C81" t="n">
        <v>141.5</v>
      </c>
      <c r="D81" t="n">
        <v>82.15000000000001</v>
      </c>
    </row>
    <row r="82">
      <c r="A82" t="n">
        <v>15363</v>
      </c>
      <c r="B82" t="inlineStr">
        <is>
          <t>和大三</t>
        </is>
      </c>
      <c r="C82" t="n">
        <v>765</v>
      </c>
      <c r="D82" t="n">
        <v>693</v>
      </c>
    </row>
    <row r="83">
      <c r="A83" t="n">
        <v>15364</v>
      </c>
      <c r="B83" t="inlineStr">
        <is>
          <t>和大四</t>
        </is>
      </c>
      <c r="C83" t="n">
        <v>130.3</v>
      </c>
      <c r="D83" t="n">
        <v>93.90000000000001</v>
      </c>
    </row>
    <row r="84">
      <c r="A84" t="n">
        <v>15371</v>
      </c>
      <c r="B84" t="inlineStr">
        <is>
          <t>廣隆一</t>
        </is>
      </c>
      <c r="C84" t="n">
        <v>225</v>
      </c>
      <c r="D84" t="n">
        <v>83</v>
      </c>
    </row>
    <row r="85">
      <c r="A85" t="n">
        <v>15411</v>
      </c>
      <c r="B85" t="inlineStr">
        <is>
          <t>錩泰一</t>
        </is>
      </c>
      <c r="C85" t="n">
        <v>129.45</v>
      </c>
      <c r="D85" t="n">
        <v>77</v>
      </c>
    </row>
    <row r="86">
      <c r="A86" t="n">
        <v>15601</v>
      </c>
      <c r="B86" t="inlineStr">
        <is>
          <t>中砂一</t>
        </is>
      </c>
      <c r="C86" t="n">
        <v>260</v>
      </c>
      <c r="D86" t="n">
        <v>98.7</v>
      </c>
      <c r="E86" t="inlineStr">
        <is>
          <t>H</t>
        </is>
      </c>
      <c r="F86" s="208" t="n">
        <v>0.3265306122448979</v>
      </c>
    </row>
    <row r="87">
      <c r="A87" t="n">
        <v>15661</v>
      </c>
      <c r="B87" t="inlineStr">
        <is>
          <t>捷邦一</t>
        </is>
      </c>
      <c r="C87" t="n">
        <v>124.85</v>
      </c>
      <c r="D87" t="n">
        <v>94</v>
      </c>
    </row>
    <row r="88">
      <c r="A88" t="n">
        <v>15691</v>
      </c>
      <c r="B88" t="inlineStr">
        <is>
          <t>濱川一</t>
        </is>
      </c>
      <c r="C88" t="n">
        <v>207</v>
      </c>
      <c r="D88" t="n">
        <v>92.25</v>
      </c>
    </row>
    <row r="89">
      <c r="A89" t="n">
        <v>15692</v>
      </c>
      <c r="B89" t="inlineStr">
        <is>
          <t>濱川二</t>
        </is>
      </c>
      <c r="C89" t="n">
        <v>182</v>
      </c>
      <c r="D89" t="n">
        <v>107</v>
      </c>
    </row>
    <row r="90">
      <c r="A90" t="n">
        <v>15693</v>
      </c>
      <c r="B90" t="inlineStr">
        <is>
          <t>濱川三</t>
        </is>
      </c>
      <c r="C90" t="n">
        <v>162</v>
      </c>
      <c r="D90" t="n">
        <v>107</v>
      </c>
    </row>
    <row r="91">
      <c r="A91" t="n">
        <v>15694</v>
      </c>
      <c r="B91" t="inlineStr">
        <is>
          <t>濱川四</t>
        </is>
      </c>
      <c r="C91" t="n">
        <v>136.95</v>
      </c>
      <c r="D91" t="n">
        <v>101</v>
      </c>
    </row>
    <row r="92">
      <c r="A92" t="n">
        <v>15695</v>
      </c>
      <c r="B92" t="inlineStr">
        <is>
          <t>濱川五</t>
        </is>
      </c>
      <c r="C92" t="n">
        <v>187</v>
      </c>
      <c r="D92" t="n">
        <v>100.2</v>
      </c>
    </row>
    <row r="93">
      <c r="A93" t="n">
        <v>15696</v>
      </c>
      <c r="B93" t="inlineStr">
        <is>
          <t>濱川六</t>
        </is>
      </c>
      <c r="C93" t="n">
        <v>149</v>
      </c>
      <c r="D93" t="n">
        <v>95</v>
      </c>
    </row>
    <row r="94">
      <c r="A94" t="n">
        <v>15821</v>
      </c>
      <c r="B94" t="inlineStr">
        <is>
          <t>信錦一</t>
        </is>
      </c>
      <c r="C94" t="n">
        <v>130.8</v>
      </c>
      <c r="D94" t="n">
        <v>97.59999999999999</v>
      </c>
    </row>
    <row r="95">
      <c r="A95" t="n">
        <v>15822</v>
      </c>
      <c r="B95" t="inlineStr">
        <is>
          <t>信錦二</t>
        </is>
      </c>
      <c r="C95" t="n">
        <v>147</v>
      </c>
      <c r="D95" t="n">
        <v>98.5</v>
      </c>
    </row>
    <row r="96">
      <c r="A96" t="n">
        <v>15823</v>
      </c>
      <c r="B96" t="inlineStr">
        <is>
          <t>信錦三</t>
        </is>
      </c>
      <c r="C96" t="n">
        <v>203</v>
      </c>
      <c r="D96" t="n">
        <v>101</v>
      </c>
    </row>
    <row r="97">
      <c r="A97" t="n">
        <v>15831</v>
      </c>
      <c r="B97" t="inlineStr">
        <is>
          <t>程泰一</t>
        </is>
      </c>
      <c r="C97" t="n">
        <v>106.8</v>
      </c>
      <c r="D97" t="n">
        <v>95.05</v>
      </c>
    </row>
    <row r="98">
      <c r="A98" t="n">
        <v>15841</v>
      </c>
      <c r="B98" t="inlineStr">
        <is>
          <t>精剛一</t>
        </is>
      </c>
      <c r="C98" t="n">
        <v>117.7</v>
      </c>
      <c r="D98" t="n">
        <v>93</v>
      </c>
    </row>
    <row r="99">
      <c r="A99" t="n">
        <v>15842</v>
      </c>
      <c r="B99" t="inlineStr">
        <is>
          <t>精剛二</t>
        </is>
      </c>
      <c r="C99" t="n">
        <v>113</v>
      </c>
      <c r="D99" t="n">
        <v>100</v>
      </c>
    </row>
    <row r="100">
      <c r="A100" t="n">
        <v>15861</v>
      </c>
      <c r="B100" t="inlineStr">
        <is>
          <t>和勤一</t>
        </is>
      </c>
      <c r="C100" t="n">
        <v>189</v>
      </c>
      <c r="D100" t="n">
        <v>100.2</v>
      </c>
    </row>
    <row r="101">
      <c r="A101" t="n">
        <v>15862</v>
      </c>
      <c r="B101" t="inlineStr">
        <is>
          <t>和勤二</t>
        </is>
      </c>
      <c r="C101" t="n">
        <v>127.5</v>
      </c>
      <c r="D101" t="n">
        <v>99.5</v>
      </c>
    </row>
    <row r="102">
      <c r="A102" t="n">
        <v>15863</v>
      </c>
      <c r="B102" t="inlineStr">
        <is>
          <t>和勤三</t>
        </is>
      </c>
      <c r="C102" t="n">
        <v>125.25</v>
      </c>
      <c r="D102" t="n">
        <v>98.55</v>
      </c>
    </row>
    <row r="103">
      <c r="A103" t="n">
        <v>15864</v>
      </c>
      <c r="B103" t="inlineStr">
        <is>
          <t>和勤四</t>
        </is>
      </c>
      <c r="C103" t="n">
        <v>124</v>
      </c>
      <c r="D103" t="n">
        <v>100.05</v>
      </c>
      <c r="F103" s="208" t="inlineStr"/>
    </row>
    <row r="104">
      <c r="A104" t="n">
        <v>15865</v>
      </c>
      <c r="B104" t="inlineStr">
        <is>
          <t>和勤五</t>
        </is>
      </c>
      <c r="C104" t="n">
        <v>114.5</v>
      </c>
      <c r="D104" t="n">
        <v>93.55</v>
      </c>
    </row>
    <row r="105">
      <c r="A105" t="n">
        <v>15891</v>
      </c>
      <c r="B105" t="inlineStr">
        <is>
          <t>永冠一KY</t>
        </is>
      </c>
      <c r="C105" t="n">
        <v>165</v>
      </c>
      <c r="D105" t="n">
        <v>100.05</v>
      </c>
    </row>
    <row r="106">
      <c r="A106" t="n">
        <v>15892</v>
      </c>
      <c r="B106" t="inlineStr">
        <is>
          <t>永冠二KY</t>
        </is>
      </c>
      <c r="C106" t="n">
        <v>114</v>
      </c>
      <c r="D106" t="n">
        <v>97.5</v>
      </c>
    </row>
    <row r="107">
      <c r="A107" t="n">
        <v>15893</v>
      </c>
      <c r="B107" t="inlineStr">
        <is>
          <t>永冠三KY</t>
        </is>
      </c>
      <c r="C107" t="n">
        <v>116</v>
      </c>
      <c r="D107" t="n">
        <v>93.7</v>
      </c>
    </row>
    <row r="108">
      <c r="A108" t="n">
        <v>15894</v>
      </c>
      <c r="B108" t="inlineStr">
        <is>
          <t>永冠四KY</t>
        </is>
      </c>
      <c r="C108" t="n">
        <v>131.1</v>
      </c>
      <c r="D108" t="n">
        <v>34.9</v>
      </c>
    </row>
    <row r="109">
      <c r="A109" t="n">
        <v>15921</v>
      </c>
      <c r="B109" t="inlineStr">
        <is>
          <t>英瑞一KY</t>
        </is>
      </c>
      <c r="C109" t="n">
        <v>99.59999999999999</v>
      </c>
      <c r="D109" t="n">
        <v>26.1</v>
      </c>
    </row>
    <row r="110">
      <c r="A110" t="n">
        <v>15931</v>
      </c>
      <c r="B110" t="inlineStr">
        <is>
          <t>祺驊一</t>
        </is>
      </c>
      <c r="C110" t="n">
        <v>145</v>
      </c>
      <c r="D110" t="n">
        <v>102.05</v>
      </c>
    </row>
    <row r="111">
      <c r="A111" t="n">
        <v>15932</v>
      </c>
      <c r="B111" t="inlineStr">
        <is>
          <t>祺驊二</t>
        </is>
      </c>
      <c r="C111" t="n">
        <v>228</v>
      </c>
      <c r="D111" t="n">
        <v>105</v>
      </c>
    </row>
    <row r="112">
      <c r="A112" t="n">
        <v>15951</v>
      </c>
      <c r="B112" t="inlineStr">
        <is>
          <t>川寶一</t>
        </is>
      </c>
      <c r="C112" t="n">
        <v>115.5</v>
      </c>
      <c r="D112" t="n">
        <v>96</v>
      </c>
    </row>
    <row r="113">
      <c r="A113" t="n">
        <v>15952</v>
      </c>
      <c r="B113" t="inlineStr">
        <is>
          <t>川寶二</t>
        </is>
      </c>
      <c r="C113" t="n">
        <v>261</v>
      </c>
      <c r="D113" t="n">
        <v>102</v>
      </c>
      <c r="E113" t="inlineStr">
        <is>
          <t>H</t>
        </is>
      </c>
      <c r="F113" s="208" t="n">
        <v>0.359375</v>
      </c>
    </row>
    <row r="114">
      <c r="A114" t="n">
        <v>15981</v>
      </c>
      <c r="B114" t="inlineStr">
        <is>
          <t>岱宇一</t>
        </is>
      </c>
      <c r="C114" t="n">
        <v>381</v>
      </c>
      <c r="D114" t="n">
        <v>100</v>
      </c>
    </row>
    <row r="115">
      <c r="A115" t="n">
        <v>15982</v>
      </c>
      <c r="B115" t="inlineStr">
        <is>
          <t>岱宇二</t>
        </is>
      </c>
      <c r="C115" t="n">
        <v>177</v>
      </c>
      <c r="D115" t="n">
        <v>99.59999999999999</v>
      </c>
    </row>
    <row r="116">
      <c r="A116" t="n">
        <v>15983</v>
      </c>
      <c r="B116" t="inlineStr">
        <is>
          <t>岱宇三</t>
        </is>
      </c>
      <c r="C116" t="n">
        <v>121</v>
      </c>
      <c r="D116" t="n">
        <v>95.09999999999999</v>
      </c>
    </row>
    <row r="117">
      <c r="A117" t="n">
        <v>15984</v>
      </c>
      <c r="B117" t="inlineStr">
        <is>
          <t>岱宇四</t>
        </is>
      </c>
      <c r="C117" t="n">
        <v>103.5</v>
      </c>
      <c r="D117" t="n">
        <v>90.05</v>
      </c>
    </row>
    <row r="118">
      <c r="A118" t="n">
        <v>15991</v>
      </c>
      <c r="B118" t="inlineStr">
        <is>
          <t>宏佳騰一</t>
        </is>
      </c>
      <c r="C118" t="n">
        <v>109</v>
      </c>
      <c r="D118" t="n">
        <v>99.09999999999999</v>
      </c>
    </row>
    <row r="119">
      <c r="A119" t="n">
        <v>16031</v>
      </c>
      <c r="B119" t="inlineStr">
        <is>
          <t>華電一</t>
        </is>
      </c>
      <c r="C119" t="n">
        <v>221</v>
      </c>
      <c r="D119" t="n">
        <v>100</v>
      </c>
    </row>
    <row r="120">
      <c r="A120" t="n">
        <v>16062</v>
      </c>
      <c r="B120" t="inlineStr">
        <is>
          <t>歌林二</t>
        </is>
      </c>
      <c r="C120" t="n">
        <v>101.5</v>
      </c>
      <c r="D120" t="n">
        <v>8.050000000000001</v>
      </c>
    </row>
    <row r="121">
      <c r="A121" t="n">
        <v>16091</v>
      </c>
      <c r="B121" t="inlineStr">
        <is>
          <t>大亞一</t>
        </is>
      </c>
      <c r="C121" t="n">
        <v>184</v>
      </c>
      <c r="D121" t="n">
        <v>114</v>
      </c>
    </row>
    <row r="122">
      <c r="A122" t="n">
        <v>16092</v>
      </c>
      <c r="B122" t="inlineStr">
        <is>
          <t>大亞二</t>
        </is>
      </c>
      <c r="C122" t="n">
        <v>184</v>
      </c>
      <c r="D122" t="n">
        <v>114</v>
      </c>
    </row>
    <row r="123">
      <c r="A123" t="n">
        <v>16093</v>
      </c>
      <c r="B123" t="inlineStr">
        <is>
          <t>大亞三</t>
        </is>
      </c>
      <c r="C123" t="n">
        <v>185</v>
      </c>
      <c r="D123" t="n">
        <v>92.2</v>
      </c>
    </row>
    <row r="124">
      <c r="A124" t="n">
        <v>16094</v>
      </c>
      <c r="B124" t="inlineStr">
        <is>
          <t>大亞四</t>
        </is>
      </c>
      <c r="C124" t="n">
        <v>187</v>
      </c>
      <c r="D124" t="n">
        <v>98</v>
      </c>
    </row>
    <row r="125">
      <c r="A125" t="n">
        <v>16095</v>
      </c>
      <c r="B125" t="inlineStr">
        <is>
          <t>大亞五</t>
        </is>
      </c>
      <c r="C125" t="n">
        <v>119.5</v>
      </c>
      <c r="D125" t="n">
        <v>92.84999999999999</v>
      </c>
    </row>
    <row r="126">
      <c r="A126" t="n">
        <v>16111</v>
      </c>
      <c r="B126" t="inlineStr">
        <is>
          <t>中電ㄧ</t>
        </is>
      </c>
      <c r="C126" t="n">
        <v>135</v>
      </c>
      <c r="D126" t="n">
        <v>96.40000000000001</v>
      </c>
    </row>
    <row r="127">
      <c r="A127" t="n">
        <v>16112</v>
      </c>
      <c r="B127" t="inlineStr">
        <is>
          <t>中電二</t>
        </is>
      </c>
      <c r="C127" t="n">
        <v>102.4</v>
      </c>
      <c r="D127" t="n">
        <v>95</v>
      </c>
    </row>
    <row r="128">
      <c r="A128" t="n">
        <v>16161</v>
      </c>
      <c r="B128" t="inlineStr">
        <is>
          <t>億泰一</t>
        </is>
      </c>
      <c r="C128" t="n">
        <v>199</v>
      </c>
      <c r="D128" t="n">
        <v>99</v>
      </c>
    </row>
    <row r="129">
      <c r="A129" t="n">
        <v>16171</v>
      </c>
      <c r="B129" t="inlineStr">
        <is>
          <t>榮星一</t>
        </is>
      </c>
      <c r="C129" t="n">
        <v>128.85</v>
      </c>
      <c r="D129" t="n">
        <v>99</v>
      </c>
    </row>
    <row r="130">
      <c r="A130" t="n">
        <v>16172</v>
      </c>
      <c r="B130" t="inlineStr">
        <is>
          <t>榮星二</t>
        </is>
      </c>
      <c r="C130" t="n">
        <v>148</v>
      </c>
      <c r="D130" t="n">
        <v>102</v>
      </c>
    </row>
    <row r="131">
      <c r="A131" t="n">
        <v>16173</v>
      </c>
      <c r="B131" t="inlineStr">
        <is>
          <t>榮星三</t>
        </is>
      </c>
      <c r="C131" t="n">
        <v>176</v>
      </c>
      <c r="D131" t="n">
        <v>94</v>
      </c>
    </row>
    <row r="132">
      <c r="A132" t="n">
        <v>16181</v>
      </c>
      <c r="B132" t="inlineStr">
        <is>
          <t>合機一</t>
        </is>
      </c>
      <c r="C132" t="n">
        <v>377</v>
      </c>
      <c r="D132" t="n">
        <v>125</v>
      </c>
    </row>
    <row r="133">
      <c r="A133" t="n">
        <v>16261</v>
      </c>
      <c r="B133" t="inlineStr">
        <is>
          <t>艾美特一KY</t>
        </is>
      </c>
      <c r="C133" t="n">
        <v>101.35</v>
      </c>
      <c r="D133" t="n">
        <v>89</v>
      </c>
    </row>
    <row r="134">
      <c r="A134" t="n">
        <v>16262</v>
      </c>
      <c r="B134" t="inlineStr">
        <is>
          <t>艾美特二KY</t>
        </is>
      </c>
      <c r="C134" t="n">
        <v>125.5</v>
      </c>
      <c r="D134" t="n">
        <v>99.7</v>
      </c>
    </row>
    <row r="135">
      <c r="A135" t="n">
        <v>16263</v>
      </c>
      <c r="B135" t="inlineStr">
        <is>
          <t>艾美特三KY</t>
        </is>
      </c>
      <c r="C135" t="n">
        <v>111.2</v>
      </c>
      <c r="D135" t="n">
        <v>101</v>
      </c>
    </row>
    <row r="136">
      <c r="A136" t="n">
        <v>16264</v>
      </c>
      <c r="B136" t="inlineStr">
        <is>
          <t>艾美特四KY</t>
        </is>
      </c>
      <c r="C136" t="n">
        <v>105.5</v>
      </c>
      <c r="D136" t="n">
        <v>90.59999999999999</v>
      </c>
    </row>
    <row r="137">
      <c r="A137" t="n">
        <v>17043</v>
      </c>
      <c r="B137" t="inlineStr">
        <is>
          <t>榮化三</t>
        </is>
      </c>
      <c r="C137" t="n">
        <v>106</v>
      </c>
      <c r="D137" t="n">
        <v>71.2</v>
      </c>
    </row>
    <row r="138">
      <c r="A138" t="n">
        <v>17071</v>
      </c>
      <c r="B138" t="inlineStr">
        <is>
          <t>葡萄王一</t>
        </is>
      </c>
      <c r="C138" t="n">
        <v>169</v>
      </c>
      <c r="D138" t="n">
        <v>98.8</v>
      </c>
    </row>
    <row r="139">
      <c r="A139" t="n">
        <v>17091</v>
      </c>
      <c r="B139" t="inlineStr">
        <is>
          <t>和益一</t>
        </is>
      </c>
      <c r="C139" t="n">
        <v>164</v>
      </c>
      <c r="D139" t="n">
        <v>98.5</v>
      </c>
    </row>
    <row r="140">
      <c r="A140" t="n">
        <v>17121</v>
      </c>
      <c r="B140" t="inlineStr">
        <is>
          <t>興農一</t>
        </is>
      </c>
      <c r="C140" t="n">
        <v>142.1</v>
      </c>
      <c r="D140" t="n">
        <v>99.59999999999999</v>
      </c>
    </row>
    <row r="141">
      <c r="A141" t="n">
        <v>17151</v>
      </c>
      <c r="B141" t="inlineStr">
        <is>
          <t>萬洲一</t>
        </is>
      </c>
      <c r="C141" t="n">
        <v>199</v>
      </c>
      <c r="D141" t="n">
        <v>90</v>
      </c>
    </row>
    <row r="142">
      <c r="A142" t="n">
        <v>17152</v>
      </c>
      <c r="B142" t="inlineStr">
        <is>
          <t>萬洲二</t>
        </is>
      </c>
      <c r="C142" t="n">
        <v>149</v>
      </c>
      <c r="D142" t="n">
        <v>99.5</v>
      </c>
    </row>
    <row r="143">
      <c r="A143" t="n">
        <v>17153</v>
      </c>
      <c r="B143" t="inlineStr">
        <is>
          <t>萬洲三</t>
        </is>
      </c>
      <c r="C143" t="n">
        <v>103.9</v>
      </c>
      <c r="D143" t="n">
        <v>95</v>
      </c>
    </row>
    <row r="144">
      <c r="A144" t="n">
        <v>17202</v>
      </c>
      <c r="B144" t="inlineStr">
        <is>
          <t>生達二</t>
        </is>
      </c>
      <c r="C144" t="n">
        <v>142.85</v>
      </c>
      <c r="D144" t="n">
        <v>100</v>
      </c>
    </row>
    <row r="145">
      <c r="A145" t="n">
        <v>17203</v>
      </c>
      <c r="B145" t="inlineStr">
        <is>
          <t>生達三</t>
        </is>
      </c>
      <c r="C145" t="n">
        <v>207</v>
      </c>
      <c r="D145" t="n">
        <v>97.65000000000001</v>
      </c>
    </row>
    <row r="146">
      <c r="A146" t="n">
        <v>17271</v>
      </c>
      <c r="B146" t="inlineStr">
        <is>
          <t>中華化一</t>
        </is>
      </c>
      <c r="C146" t="n">
        <v>147</v>
      </c>
      <c r="D146" t="n">
        <v>97.55</v>
      </c>
    </row>
    <row r="147">
      <c r="A147" t="n">
        <v>17291</v>
      </c>
      <c r="B147" t="inlineStr">
        <is>
          <t>必翔一</t>
        </is>
      </c>
      <c r="C147" t="n">
        <v>145.5</v>
      </c>
      <c r="D147" t="n">
        <v>83</v>
      </c>
    </row>
    <row r="148">
      <c r="A148" t="n">
        <v>17292</v>
      </c>
      <c r="B148" t="inlineStr">
        <is>
          <t>必翔二</t>
        </is>
      </c>
      <c r="C148" t="n">
        <v>101.6</v>
      </c>
      <c r="D148" t="n">
        <v>85.45</v>
      </c>
    </row>
    <row r="149">
      <c r="A149" t="n">
        <v>17301</v>
      </c>
      <c r="B149" t="inlineStr">
        <is>
          <t>花仙子一</t>
        </is>
      </c>
      <c r="C149" t="n">
        <v>178</v>
      </c>
      <c r="D149" t="n">
        <v>103.5</v>
      </c>
    </row>
    <row r="150">
      <c r="A150" t="n">
        <v>17331</v>
      </c>
      <c r="B150" t="inlineStr">
        <is>
          <t>五鼎一</t>
        </is>
      </c>
      <c r="C150" t="n">
        <v>111.8</v>
      </c>
      <c r="D150" t="n">
        <v>99.09999999999999</v>
      </c>
    </row>
    <row r="151">
      <c r="A151" t="n">
        <v>17332</v>
      </c>
      <c r="B151" t="inlineStr">
        <is>
          <t>五鼎二</t>
        </is>
      </c>
      <c r="C151" t="n">
        <v>128.2</v>
      </c>
      <c r="D151" t="n">
        <v>99.5</v>
      </c>
    </row>
    <row r="152">
      <c r="A152" t="n">
        <v>17333</v>
      </c>
      <c r="B152" t="inlineStr">
        <is>
          <t>五鼎三</t>
        </is>
      </c>
      <c r="C152" t="n">
        <v>123</v>
      </c>
      <c r="D152" t="n">
        <v>100</v>
      </c>
    </row>
    <row r="153">
      <c r="A153" t="n">
        <v>17341</v>
      </c>
      <c r="B153" t="inlineStr">
        <is>
          <t>杏輝一</t>
        </is>
      </c>
      <c r="C153" t="n">
        <v>172</v>
      </c>
      <c r="D153" t="n">
        <v>100.1</v>
      </c>
    </row>
    <row r="154">
      <c r="A154" t="n">
        <v>17351</v>
      </c>
      <c r="B154" t="inlineStr">
        <is>
          <t>日勝化一</t>
        </is>
      </c>
      <c r="C154" t="n">
        <v>594</v>
      </c>
      <c r="D154" t="n">
        <v>120</v>
      </c>
    </row>
    <row r="155">
      <c r="A155" t="n">
        <v>17521</v>
      </c>
      <c r="B155" t="inlineStr">
        <is>
          <t>南光一</t>
        </is>
      </c>
      <c r="C155" t="n">
        <v>126.9</v>
      </c>
      <c r="D155" t="n">
        <v>99.65000000000001</v>
      </c>
    </row>
    <row r="156">
      <c r="A156" t="n">
        <v>17522</v>
      </c>
      <c r="B156" t="inlineStr">
        <is>
          <t>南光二</t>
        </is>
      </c>
      <c r="C156" t="n">
        <v>159</v>
      </c>
      <c r="D156" t="n">
        <v>106.25</v>
      </c>
    </row>
    <row r="157">
      <c r="A157" t="n">
        <v>17811</v>
      </c>
      <c r="B157" t="inlineStr">
        <is>
          <t>合世一</t>
        </is>
      </c>
      <c r="C157" t="n">
        <v>268</v>
      </c>
      <c r="D157" t="n">
        <v>107</v>
      </c>
    </row>
    <row r="158">
      <c r="A158" t="n">
        <v>17812</v>
      </c>
      <c r="B158" t="inlineStr">
        <is>
          <t>合世二</t>
        </is>
      </c>
      <c r="C158" t="n">
        <v>200</v>
      </c>
      <c r="D158" t="n">
        <v>100</v>
      </c>
    </row>
    <row r="159">
      <c r="A159" t="n">
        <v>17813</v>
      </c>
      <c r="B159" t="inlineStr">
        <is>
          <t>合世三</t>
        </is>
      </c>
      <c r="C159" t="n">
        <v>116.95</v>
      </c>
      <c r="D159" t="n">
        <v>100.3</v>
      </c>
    </row>
    <row r="160">
      <c r="A160" t="n">
        <v>17841</v>
      </c>
      <c r="B160" t="inlineStr">
        <is>
          <t>訊聯一</t>
        </is>
      </c>
      <c r="C160" t="n">
        <v>143</v>
      </c>
      <c r="D160" t="n">
        <v>68.5</v>
      </c>
    </row>
    <row r="161">
      <c r="A161" t="n">
        <v>17851</v>
      </c>
      <c r="B161" t="inlineStr">
        <is>
          <t>光洋科一</t>
        </is>
      </c>
      <c r="C161" t="n">
        <v>435</v>
      </c>
      <c r="D161" t="n">
        <v>101.4</v>
      </c>
    </row>
    <row r="162">
      <c r="A162" t="n">
        <v>17852</v>
      </c>
      <c r="B162" t="inlineStr">
        <is>
          <t>光洋科二</t>
        </is>
      </c>
      <c r="C162" t="n">
        <v>297</v>
      </c>
      <c r="D162" t="n">
        <v>103</v>
      </c>
    </row>
    <row r="163">
      <c r="A163" t="n">
        <v>17861</v>
      </c>
      <c r="B163" t="inlineStr">
        <is>
          <t>科妍一</t>
        </is>
      </c>
      <c r="C163" t="n">
        <v>117</v>
      </c>
      <c r="D163" t="n">
        <v>98.5</v>
      </c>
    </row>
    <row r="164">
      <c r="A164" t="n">
        <v>17862</v>
      </c>
      <c r="B164" t="inlineStr">
        <is>
          <t>科妍二</t>
        </is>
      </c>
      <c r="C164" t="n">
        <v>313</v>
      </c>
      <c r="D164" t="n">
        <v>100</v>
      </c>
    </row>
    <row r="165">
      <c r="A165" t="n">
        <v>17863</v>
      </c>
      <c r="B165" t="inlineStr">
        <is>
          <t>科妍三</t>
        </is>
      </c>
      <c r="C165" t="n">
        <v>173</v>
      </c>
      <c r="D165" t="n">
        <v>100</v>
      </c>
      <c r="F165" s="208" t="inlineStr"/>
    </row>
    <row r="166">
      <c r="A166" t="n">
        <v>17871</v>
      </c>
      <c r="B166" t="inlineStr">
        <is>
          <t>福盈一</t>
        </is>
      </c>
      <c r="C166" t="n">
        <v>133.6</v>
      </c>
      <c r="D166" t="n">
        <v>100</v>
      </c>
    </row>
    <row r="167">
      <c r="A167" t="n">
        <v>17872</v>
      </c>
      <c r="B167" t="inlineStr">
        <is>
          <t>福盈二</t>
        </is>
      </c>
      <c r="C167" t="n">
        <v>230</v>
      </c>
      <c r="D167" t="n">
        <v>101.5</v>
      </c>
    </row>
    <row r="168">
      <c r="A168" t="n">
        <v>17881</v>
      </c>
      <c r="B168" t="inlineStr">
        <is>
          <t>杏昌一</t>
        </is>
      </c>
      <c r="C168" t="n">
        <v>163</v>
      </c>
      <c r="D168" t="n">
        <v>103.8</v>
      </c>
    </row>
    <row r="169">
      <c r="A169" t="n">
        <v>17951</v>
      </c>
      <c r="B169" t="inlineStr">
        <is>
          <t>美時一</t>
        </is>
      </c>
      <c r="C169" t="n">
        <v>161</v>
      </c>
      <c r="D169" t="n">
        <v>99</v>
      </c>
    </row>
    <row r="170">
      <c r="A170" t="n">
        <v>17952</v>
      </c>
      <c r="B170" t="inlineStr">
        <is>
          <t>美時二</t>
        </is>
      </c>
      <c r="C170" t="n">
        <v>147.2</v>
      </c>
      <c r="D170" t="n">
        <v>97</v>
      </c>
    </row>
    <row r="171">
      <c r="A171" t="n">
        <v>17953</v>
      </c>
      <c r="B171" t="inlineStr">
        <is>
          <t>美時三</t>
        </is>
      </c>
      <c r="C171" t="n">
        <v>611</v>
      </c>
      <c r="D171" t="n">
        <v>107</v>
      </c>
    </row>
    <row r="172">
      <c r="A172" t="n">
        <v>17961</v>
      </c>
      <c r="B172" t="inlineStr">
        <is>
          <t>金穎生技一</t>
        </is>
      </c>
      <c r="C172" t="n">
        <v>106.3</v>
      </c>
      <c r="D172" t="n">
        <v>80</v>
      </c>
    </row>
    <row r="173">
      <c r="A173" t="n">
        <v>17991</v>
      </c>
      <c r="B173" t="inlineStr">
        <is>
          <t>易威一</t>
        </is>
      </c>
      <c r="C173" t="n">
        <v>133</v>
      </c>
      <c r="D173" t="n">
        <v>99.59999999999999</v>
      </c>
    </row>
    <row r="174">
      <c r="A174" t="n">
        <v>18051</v>
      </c>
      <c r="B174" t="inlineStr">
        <is>
          <t>寶徠一</t>
        </is>
      </c>
      <c r="C174" t="n">
        <v>117</v>
      </c>
      <c r="D174" t="n">
        <v>99.75</v>
      </c>
    </row>
    <row r="175">
      <c r="A175" t="n">
        <v>18061</v>
      </c>
      <c r="B175" t="inlineStr">
        <is>
          <t>冠軍一</t>
        </is>
      </c>
      <c r="C175" t="n">
        <v>269</v>
      </c>
      <c r="D175" t="n">
        <v>101.2</v>
      </c>
    </row>
    <row r="176">
      <c r="A176" t="n">
        <v>18062</v>
      </c>
      <c r="B176" t="inlineStr">
        <is>
          <t>冠軍二</t>
        </is>
      </c>
      <c r="C176" t="n">
        <v>266</v>
      </c>
      <c r="D176" t="n">
        <v>107</v>
      </c>
    </row>
    <row r="177">
      <c r="A177" t="n">
        <v>18081</v>
      </c>
      <c r="B177" t="inlineStr">
        <is>
          <t>潤隆一</t>
        </is>
      </c>
      <c r="C177" t="n">
        <v>165</v>
      </c>
      <c r="D177" t="n">
        <v>106.1</v>
      </c>
    </row>
    <row r="178">
      <c r="A178" t="n">
        <v>18082</v>
      </c>
      <c r="B178" t="inlineStr">
        <is>
          <t>潤隆二</t>
        </is>
      </c>
      <c r="C178" t="n">
        <v>156</v>
      </c>
      <c r="D178" t="n">
        <v>104</v>
      </c>
    </row>
    <row r="179">
      <c r="A179" t="n">
        <v>18083</v>
      </c>
      <c r="B179" t="inlineStr">
        <is>
          <t>潤隆三</t>
        </is>
      </c>
      <c r="C179" t="n">
        <v>305</v>
      </c>
      <c r="D179" t="n">
        <v>105.2</v>
      </c>
    </row>
    <row r="180">
      <c r="A180" t="n">
        <v>18131</v>
      </c>
      <c r="B180" t="inlineStr">
        <is>
          <t>寶利一</t>
        </is>
      </c>
      <c r="C180" t="n">
        <v>128.1</v>
      </c>
      <c r="D180" t="n">
        <v>100</v>
      </c>
    </row>
    <row r="181">
      <c r="A181" t="n">
        <v>18151</v>
      </c>
      <c r="B181" t="inlineStr">
        <is>
          <t>富喬一</t>
        </is>
      </c>
      <c r="C181" t="n">
        <v>190</v>
      </c>
      <c r="D181" t="n">
        <v>93</v>
      </c>
    </row>
    <row r="182">
      <c r="A182" t="n">
        <v>18152</v>
      </c>
      <c r="B182" t="inlineStr">
        <is>
          <t>富喬二</t>
        </is>
      </c>
      <c r="C182" t="n">
        <v>0</v>
      </c>
      <c r="D182" t="n">
        <v>0</v>
      </c>
    </row>
    <row r="183">
      <c r="A183" t="n">
        <v>18153</v>
      </c>
      <c r="B183" t="inlineStr">
        <is>
          <t>富喬三</t>
        </is>
      </c>
      <c r="C183" t="n">
        <v>130.35</v>
      </c>
      <c r="D183" t="n">
        <v>99</v>
      </c>
    </row>
    <row r="184">
      <c r="A184" t="n">
        <v>18154</v>
      </c>
      <c r="B184" t="inlineStr">
        <is>
          <t>富喬四</t>
        </is>
      </c>
      <c r="C184" t="n">
        <v>202</v>
      </c>
      <c r="D184" t="n">
        <v>96</v>
      </c>
    </row>
    <row r="185">
      <c r="A185" t="n">
        <v>18155</v>
      </c>
      <c r="B185" t="inlineStr">
        <is>
          <t>富喬五</t>
        </is>
      </c>
      <c r="C185" t="n">
        <v>132</v>
      </c>
      <c r="D185" t="n">
        <v>96.3</v>
      </c>
    </row>
    <row r="186">
      <c r="A186" t="n">
        <v>18156</v>
      </c>
      <c r="B186" t="inlineStr">
        <is>
          <t>富喬六</t>
        </is>
      </c>
      <c r="C186" t="n">
        <v>765</v>
      </c>
      <c r="D186" t="n">
        <v>95.59999999999999</v>
      </c>
    </row>
    <row r="187">
      <c r="A187" t="n">
        <v>19021</v>
      </c>
      <c r="B187" t="inlineStr">
        <is>
          <t>台紙一</t>
        </is>
      </c>
      <c r="C187" t="n">
        <v>150</v>
      </c>
      <c r="D187" t="n">
        <v>93</v>
      </c>
    </row>
    <row r="188">
      <c r="A188" t="n">
        <v>19022</v>
      </c>
      <c r="B188" t="inlineStr">
        <is>
          <t>台紙二</t>
        </is>
      </c>
      <c r="C188" t="n">
        <v>135</v>
      </c>
      <c r="D188" t="n">
        <v>89.05</v>
      </c>
    </row>
    <row r="189">
      <c r="A189" t="n">
        <v>19023</v>
      </c>
      <c r="B189" t="inlineStr">
        <is>
          <t>台紙三</t>
        </is>
      </c>
      <c r="C189" t="n">
        <v>201</v>
      </c>
      <c r="D189" t="n">
        <v>107</v>
      </c>
    </row>
    <row r="190">
      <c r="A190" t="n">
        <v>19093</v>
      </c>
      <c r="B190" t="inlineStr">
        <is>
          <t>榮成三</t>
        </is>
      </c>
      <c r="C190" t="n">
        <v>225</v>
      </c>
      <c r="D190" t="n">
        <v>93.8</v>
      </c>
    </row>
    <row r="191">
      <c r="A191" t="n">
        <v>19094</v>
      </c>
      <c r="B191" t="inlineStr">
        <is>
          <t>榮成四</t>
        </is>
      </c>
      <c r="C191" t="n">
        <v>118.5</v>
      </c>
      <c r="D191" t="n">
        <v>92.2</v>
      </c>
    </row>
    <row r="192">
      <c r="A192" t="n">
        <v>20062</v>
      </c>
      <c r="B192" t="inlineStr">
        <is>
          <t>東和鋼鐵二</t>
        </is>
      </c>
      <c r="C192" t="n">
        <v>199</v>
      </c>
      <c r="D192" t="n">
        <v>96.2</v>
      </c>
    </row>
    <row r="193">
      <c r="A193" t="n">
        <v>20063</v>
      </c>
      <c r="B193" t="inlineStr">
        <is>
          <t>東和鋼鐵三</t>
        </is>
      </c>
      <c r="C193" t="n">
        <v>238</v>
      </c>
      <c r="D193" t="n">
        <v>104.6</v>
      </c>
    </row>
    <row r="194">
      <c r="A194" t="n">
        <v>20064</v>
      </c>
      <c r="B194" t="inlineStr">
        <is>
          <t>東和鋼鐵四</t>
        </is>
      </c>
      <c r="C194" t="n">
        <v>110.3</v>
      </c>
      <c r="D194" t="n">
        <v>81.55</v>
      </c>
    </row>
    <row r="195">
      <c r="A195" t="n">
        <v>20065</v>
      </c>
      <c r="B195" t="inlineStr">
        <is>
          <t>東和鋼鐵五</t>
        </is>
      </c>
      <c r="C195" t="n">
        <v>126.15</v>
      </c>
      <c r="D195" t="n">
        <v>99.84999999999999</v>
      </c>
    </row>
    <row r="196">
      <c r="A196" t="n">
        <v>20066</v>
      </c>
      <c r="B196" t="inlineStr">
        <is>
          <t>東和鋼鐵六</t>
        </is>
      </c>
      <c r="C196" t="n">
        <v>109.2</v>
      </c>
      <c r="D196" t="n">
        <v>99.2</v>
      </c>
    </row>
    <row r="197">
      <c r="A197" t="n">
        <v>20067</v>
      </c>
      <c r="B197" t="inlineStr">
        <is>
          <t>東和鋼鐵七</t>
        </is>
      </c>
      <c r="C197" t="n">
        <v>173</v>
      </c>
      <c r="D197" t="n">
        <v>100</v>
      </c>
    </row>
    <row r="198">
      <c r="A198" t="n">
        <v>20121</v>
      </c>
      <c r="B198" t="inlineStr">
        <is>
          <t>春雨一</t>
        </is>
      </c>
      <c r="C198" t="n">
        <v>112.35</v>
      </c>
      <c r="D198" t="n">
        <v>97.09999999999999</v>
      </c>
    </row>
    <row r="199">
      <c r="A199" t="n">
        <v>20122</v>
      </c>
      <c r="B199" t="inlineStr">
        <is>
          <t>春雨二</t>
        </is>
      </c>
      <c r="C199" t="n">
        <v>112.6</v>
      </c>
      <c r="D199" t="n">
        <v>97.3</v>
      </c>
    </row>
    <row r="200">
      <c r="A200" t="n">
        <v>20123</v>
      </c>
      <c r="B200" t="inlineStr">
        <is>
          <t>春雨三</t>
        </is>
      </c>
      <c r="C200" t="n">
        <v>112</v>
      </c>
      <c r="D200" t="n">
        <v>97.15000000000001</v>
      </c>
    </row>
    <row r="201">
      <c r="A201" t="n">
        <v>20201</v>
      </c>
      <c r="B201" t="inlineStr">
        <is>
          <t>美亞一</t>
        </is>
      </c>
      <c r="C201" t="n">
        <v>136.5</v>
      </c>
      <c r="D201" t="n">
        <v>96</v>
      </c>
    </row>
    <row r="202">
      <c r="A202" t="n">
        <v>20202</v>
      </c>
      <c r="B202" t="inlineStr">
        <is>
          <t>美亞二</t>
        </is>
      </c>
      <c r="C202" t="n">
        <v>126.5</v>
      </c>
      <c r="D202" t="n">
        <v>76.8</v>
      </c>
    </row>
    <row r="203">
      <c r="A203" t="n">
        <v>20203</v>
      </c>
      <c r="B203" t="inlineStr">
        <is>
          <t>美亞三</t>
        </is>
      </c>
      <c r="C203" t="n">
        <v>161</v>
      </c>
      <c r="D203" t="n">
        <v>89.5</v>
      </c>
    </row>
    <row r="204">
      <c r="A204" t="n">
        <v>20221</v>
      </c>
      <c r="B204" t="inlineStr">
        <is>
          <t>聚亨一</t>
        </is>
      </c>
      <c r="C204" t="n">
        <v>202</v>
      </c>
      <c r="D204" t="n">
        <v>103.05</v>
      </c>
    </row>
    <row r="205">
      <c r="A205" t="n">
        <v>20222</v>
      </c>
      <c r="B205" t="inlineStr">
        <is>
          <t>聚亨二</t>
        </is>
      </c>
      <c r="C205" t="n">
        <v>195</v>
      </c>
      <c r="D205" t="n">
        <v>87.8</v>
      </c>
    </row>
    <row r="206">
      <c r="A206" t="n">
        <v>20223</v>
      </c>
      <c r="B206" t="inlineStr">
        <is>
          <t>聚亨三</t>
        </is>
      </c>
      <c r="C206" t="n">
        <v>128.7</v>
      </c>
      <c r="D206" t="n">
        <v>106.85</v>
      </c>
    </row>
    <row r="207">
      <c r="A207" t="n">
        <v>20224</v>
      </c>
      <c r="B207" t="inlineStr">
        <is>
          <t>聚亨四</t>
        </is>
      </c>
      <c r="C207" t="n">
        <v>120.9</v>
      </c>
      <c r="D207" t="n">
        <v>99.8</v>
      </c>
    </row>
    <row r="208">
      <c r="A208" t="n">
        <v>20231</v>
      </c>
      <c r="B208" t="inlineStr">
        <is>
          <t>燁輝一</t>
        </is>
      </c>
      <c r="C208" t="n">
        <v>157</v>
      </c>
      <c r="D208" t="n">
        <v>98</v>
      </c>
    </row>
    <row r="209">
      <c r="A209" t="n">
        <v>20271</v>
      </c>
      <c r="B209" t="inlineStr">
        <is>
          <t>成鋼一</t>
        </is>
      </c>
      <c r="C209" t="n">
        <v>115</v>
      </c>
      <c r="D209" t="n">
        <v>83.84999999999999</v>
      </c>
    </row>
    <row r="210">
      <c r="A210" t="n">
        <v>20301</v>
      </c>
      <c r="B210" t="inlineStr">
        <is>
          <t>彰源一</t>
        </is>
      </c>
      <c r="C210" t="n">
        <v>171</v>
      </c>
      <c r="D210" t="n">
        <v>101.2</v>
      </c>
    </row>
    <row r="211">
      <c r="A211" t="n">
        <v>20311</v>
      </c>
      <c r="B211" t="inlineStr">
        <is>
          <t>新光一</t>
        </is>
      </c>
      <c r="C211" t="n">
        <v>266</v>
      </c>
      <c r="D211" t="n">
        <v>132</v>
      </c>
    </row>
    <row r="212">
      <c r="A212" t="n">
        <v>20312</v>
      </c>
      <c r="B212" t="inlineStr">
        <is>
          <t>新光鋼二</t>
        </is>
      </c>
      <c r="C212" t="n">
        <v>158</v>
      </c>
      <c r="D212" t="n">
        <v>92</v>
      </c>
    </row>
    <row r="213">
      <c r="A213" t="n">
        <v>20313</v>
      </c>
      <c r="B213" t="inlineStr">
        <is>
          <t>新光鋼三</t>
        </is>
      </c>
      <c r="C213" t="n">
        <v>269</v>
      </c>
      <c r="D213" t="n">
        <v>107</v>
      </c>
    </row>
    <row r="214">
      <c r="A214" t="n">
        <v>20314</v>
      </c>
      <c r="B214" t="inlineStr">
        <is>
          <t>新光鋼四</t>
        </is>
      </c>
      <c r="C214" t="n">
        <v>149</v>
      </c>
      <c r="D214" t="n">
        <v>97.90000000000001</v>
      </c>
    </row>
    <row r="215">
      <c r="A215" t="n">
        <v>20315</v>
      </c>
      <c r="B215" t="inlineStr">
        <is>
          <t>新光鋼五</t>
        </is>
      </c>
      <c r="C215" t="n">
        <v>284</v>
      </c>
      <c r="D215" t="n">
        <v>100.5</v>
      </c>
    </row>
    <row r="216">
      <c r="A216" t="n">
        <v>20321</v>
      </c>
      <c r="B216" t="inlineStr">
        <is>
          <t xml:space="preserve">新光鋼一    </t>
        </is>
      </c>
      <c r="C216" t="n">
        <v>112</v>
      </c>
      <c r="D216" t="n">
        <v>84</v>
      </c>
    </row>
    <row r="217">
      <c r="A217" t="n">
        <v>20341</v>
      </c>
      <c r="B217" t="inlineStr">
        <is>
          <t>允強一</t>
        </is>
      </c>
      <c r="C217" t="n">
        <v>186</v>
      </c>
      <c r="D217" t="n">
        <v>96</v>
      </c>
    </row>
    <row r="218">
      <c r="A218" t="n">
        <v>20342</v>
      </c>
      <c r="B218" t="inlineStr">
        <is>
          <t>允強二</t>
        </is>
      </c>
      <c r="C218" t="n">
        <v>153</v>
      </c>
      <c r="D218" t="n">
        <v>89</v>
      </c>
    </row>
    <row r="219">
      <c r="A219" t="n">
        <v>20343</v>
      </c>
      <c r="B219" t="inlineStr">
        <is>
          <t>允強三</t>
        </is>
      </c>
      <c r="C219" t="n">
        <v>180</v>
      </c>
      <c r="D219" t="n">
        <v>99.8</v>
      </c>
    </row>
    <row r="220">
      <c r="A220" t="n">
        <v>20344</v>
      </c>
      <c r="B220" t="inlineStr">
        <is>
          <t>允強四</t>
        </is>
      </c>
      <c r="C220" t="n">
        <v>120</v>
      </c>
      <c r="D220" t="n">
        <v>100</v>
      </c>
    </row>
    <row r="221">
      <c r="A221" t="n">
        <v>20381</v>
      </c>
      <c r="B221" t="inlineStr">
        <is>
          <t>海光一</t>
        </is>
      </c>
      <c r="C221" t="n">
        <v>112</v>
      </c>
      <c r="D221" t="n">
        <v>100.05</v>
      </c>
    </row>
    <row r="222">
      <c r="A222" t="n">
        <v>20382</v>
      </c>
      <c r="B222" t="inlineStr">
        <is>
          <t>海光二</t>
        </is>
      </c>
      <c r="C222" t="n">
        <v>109.9</v>
      </c>
      <c r="D222" t="n">
        <v>89</v>
      </c>
    </row>
    <row r="223">
      <c r="A223" t="n">
        <v>20591</v>
      </c>
      <c r="B223" t="inlineStr">
        <is>
          <t>川湖一</t>
        </is>
      </c>
      <c r="C223" t="n">
        <v>121</v>
      </c>
      <c r="D223" t="n">
        <v>90.5</v>
      </c>
    </row>
    <row r="224">
      <c r="A224" t="n">
        <v>20592</v>
      </c>
      <c r="B224" t="inlineStr">
        <is>
          <t>川湖二</t>
        </is>
      </c>
      <c r="C224" t="n">
        <v>210</v>
      </c>
      <c r="D224" t="n">
        <v>99</v>
      </c>
    </row>
    <row r="225">
      <c r="A225" t="n">
        <v>20611</v>
      </c>
      <c r="B225" t="inlineStr">
        <is>
          <t>風青一</t>
        </is>
      </c>
      <c r="C225" t="n">
        <v>191</v>
      </c>
      <c r="D225" t="n">
        <v>110</v>
      </c>
    </row>
    <row r="226">
      <c r="A226" t="n">
        <v>20612</v>
      </c>
      <c r="B226" t="inlineStr">
        <is>
          <t>風青二</t>
        </is>
      </c>
      <c r="C226" t="n">
        <v>136.9</v>
      </c>
      <c r="D226" t="n">
        <v>99.7</v>
      </c>
    </row>
    <row r="227">
      <c r="A227" t="n">
        <v>20631</v>
      </c>
      <c r="B227" t="inlineStr">
        <is>
          <t>世鎧一</t>
        </is>
      </c>
      <c r="C227" t="n">
        <v>123.5</v>
      </c>
      <c r="D227" t="n">
        <v>99.65000000000001</v>
      </c>
    </row>
    <row r="228">
      <c r="A228" t="n">
        <v>20632</v>
      </c>
      <c r="B228" t="inlineStr">
        <is>
          <t>世鎧二</t>
        </is>
      </c>
      <c r="C228" t="n">
        <v>117.2</v>
      </c>
      <c r="D228" t="n">
        <v>98</v>
      </c>
    </row>
    <row r="229">
      <c r="A229" t="n">
        <v>20651</v>
      </c>
      <c r="B229" t="inlineStr">
        <is>
          <t>世豐一</t>
        </is>
      </c>
      <c r="C229" t="n">
        <v>165</v>
      </c>
      <c r="D229" t="n">
        <v>100.6</v>
      </c>
    </row>
    <row r="230">
      <c r="A230" t="n">
        <v>20652</v>
      </c>
      <c r="B230" t="inlineStr">
        <is>
          <t>世豐二</t>
        </is>
      </c>
      <c r="C230" t="n">
        <v>134.95</v>
      </c>
      <c r="D230" t="n">
        <v>99.5</v>
      </c>
    </row>
    <row r="231">
      <c r="A231" t="n">
        <v>20661</v>
      </c>
      <c r="B231" t="inlineStr">
        <is>
          <t>世德一</t>
        </is>
      </c>
      <c r="C231" t="n">
        <v>250</v>
      </c>
      <c r="D231" t="n">
        <v>106</v>
      </c>
    </row>
    <row r="232">
      <c r="A232" t="n">
        <v>20662</v>
      </c>
      <c r="B232" t="inlineStr">
        <is>
          <t>世德二</t>
        </is>
      </c>
      <c r="C232" t="n">
        <v>156</v>
      </c>
      <c r="D232" t="n">
        <v>95</v>
      </c>
    </row>
    <row r="233">
      <c r="A233" t="n">
        <v>20691</v>
      </c>
      <c r="B233" t="inlineStr">
        <is>
          <t>運錩一</t>
        </is>
      </c>
      <c r="C233" t="n">
        <v>189</v>
      </c>
      <c r="D233" t="n">
        <v>106.3</v>
      </c>
    </row>
    <row r="234">
      <c r="A234" t="n">
        <v>20692</v>
      </c>
      <c r="B234" t="inlineStr">
        <is>
          <t>運錩二</t>
        </is>
      </c>
      <c r="C234" t="n">
        <v>177</v>
      </c>
      <c r="D234" t="n">
        <v>100.15</v>
      </c>
    </row>
    <row r="235">
      <c r="A235" t="n">
        <v>20693</v>
      </c>
      <c r="B235" t="inlineStr">
        <is>
          <t>運錩三</t>
        </is>
      </c>
      <c r="C235" t="n">
        <v>105.9</v>
      </c>
      <c r="D235" t="n">
        <v>94.7</v>
      </c>
    </row>
    <row r="236">
      <c r="A236" t="n">
        <v>20694</v>
      </c>
      <c r="B236" t="inlineStr">
        <is>
          <t>運錩四</t>
        </is>
      </c>
      <c r="C236" t="n">
        <v>123.05</v>
      </c>
      <c r="D236" t="n">
        <v>94.05</v>
      </c>
    </row>
    <row r="237">
      <c r="A237" t="n">
        <v>21011</v>
      </c>
      <c r="B237" t="inlineStr">
        <is>
          <t>南港一</t>
        </is>
      </c>
      <c r="C237" t="n">
        <v>136</v>
      </c>
      <c r="D237" t="n">
        <v>99.45</v>
      </c>
    </row>
    <row r="238">
      <c r="A238" t="n">
        <v>21031</v>
      </c>
      <c r="B238" t="inlineStr">
        <is>
          <t>中橡二</t>
        </is>
      </c>
      <c r="C238" t="n">
        <v>245</v>
      </c>
      <c r="D238" t="n">
        <v>101.5</v>
      </c>
    </row>
    <row r="239">
      <c r="A239" t="n">
        <v>21043</v>
      </c>
      <c r="B239" t="inlineStr">
        <is>
          <t>國際中橡三</t>
        </is>
      </c>
      <c r="C239" t="n">
        <v>106.4</v>
      </c>
      <c r="D239" t="n">
        <v>94.05</v>
      </c>
    </row>
    <row r="240">
      <c r="A240" t="n">
        <v>21071</v>
      </c>
      <c r="B240" t="inlineStr">
        <is>
          <t>厚生一</t>
        </is>
      </c>
      <c r="C240" t="n">
        <v>194</v>
      </c>
      <c r="D240" t="n">
        <v>99.90000000000001</v>
      </c>
    </row>
    <row r="241">
      <c r="A241" t="n">
        <v>21091</v>
      </c>
      <c r="B241" t="inlineStr">
        <is>
          <t>華豐一</t>
        </is>
      </c>
      <c r="C241" t="n">
        <v>145.8</v>
      </c>
      <c r="D241" t="n">
        <v>100</v>
      </c>
    </row>
    <row r="242">
      <c r="A242" t="n">
        <v>21141</v>
      </c>
      <c r="B242" t="inlineStr">
        <is>
          <t>鑫永一</t>
        </is>
      </c>
      <c r="C242" t="n">
        <v>258</v>
      </c>
      <c r="D242" t="n">
        <v>81.5</v>
      </c>
    </row>
    <row r="243">
      <c r="A243" t="n">
        <v>21151</v>
      </c>
      <c r="B243" t="inlineStr">
        <is>
          <t>六暉一KY</t>
        </is>
      </c>
      <c r="C243" t="n">
        <v>116.9</v>
      </c>
      <c r="D243" t="n">
        <v>95</v>
      </c>
    </row>
    <row r="244">
      <c r="A244" t="n">
        <v>22012</v>
      </c>
      <c r="B244" t="inlineStr">
        <is>
          <t>裕隆二</t>
        </is>
      </c>
      <c r="C244" t="n">
        <v>152</v>
      </c>
      <c r="D244" t="n">
        <v>99.7</v>
      </c>
    </row>
    <row r="245">
      <c r="A245" t="n">
        <v>22013</v>
      </c>
      <c r="B245" t="inlineStr">
        <is>
          <t>裕隆三</t>
        </is>
      </c>
      <c r="C245" t="n">
        <v>118.45</v>
      </c>
      <c r="D245" t="n">
        <v>94</v>
      </c>
    </row>
    <row r="246">
      <c r="A246" t="n">
        <v>22043</v>
      </c>
      <c r="B246" t="inlineStr">
        <is>
          <t>中華三</t>
        </is>
      </c>
      <c r="C246" t="n">
        <v>105.3</v>
      </c>
      <c r="D246" t="n">
        <v>92.55</v>
      </c>
    </row>
    <row r="247">
      <c r="A247" t="n">
        <v>22081</v>
      </c>
      <c r="B247" t="inlineStr">
        <is>
          <t>台船一</t>
        </is>
      </c>
      <c r="C247" t="n">
        <v>151</v>
      </c>
      <c r="D247" t="n">
        <v>99.55</v>
      </c>
    </row>
    <row r="248">
      <c r="A248" t="n">
        <v>22281</v>
      </c>
      <c r="B248" t="inlineStr">
        <is>
          <t>劍麟一</t>
        </is>
      </c>
      <c r="C248" t="n">
        <v>200</v>
      </c>
      <c r="D248" t="n">
        <v>102</v>
      </c>
    </row>
    <row r="249">
      <c r="A249" t="n">
        <v>22282</v>
      </c>
      <c r="B249" t="inlineStr">
        <is>
          <t>劍麟二</t>
        </is>
      </c>
      <c r="C249" t="n">
        <v>117.45</v>
      </c>
      <c r="D249" t="n">
        <v>99</v>
      </c>
    </row>
    <row r="250">
      <c r="A250" t="n">
        <v>22283</v>
      </c>
      <c r="B250" t="inlineStr">
        <is>
          <t>劍麟三</t>
        </is>
      </c>
      <c r="C250" t="n">
        <v>152</v>
      </c>
      <c r="D250" t="n">
        <v>106</v>
      </c>
    </row>
    <row r="251">
      <c r="A251" t="n">
        <v>22301</v>
      </c>
      <c r="B251" t="inlineStr">
        <is>
          <t>泰茂一</t>
        </is>
      </c>
      <c r="C251" t="n">
        <v>112</v>
      </c>
      <c r="D251" t="n">
        <v>98.5</v>
      </c>
    </row>
    <row r="252">
      <c r="A252" t="n">
        <v>22302</v>
      </c>
      <c r="B252" t="inlineStr">
        <is>
          <t>泰茂二</t>
        </is>
      </c>
      <c r="C252" t="n">
        <v>117.8</v>
      </c>
      <c r="D252" t="n">
        <v>99.84999999999999</v>
      </c>
    </row>
    <row r="253">
      <c r="A253" t="n">
        <v>22303</v>
      </c>
      <c r="B253" t="inlineStr">
        <is>
          <t>泰茂三</t>
        </is>
      </c>
      <c r="C253" t="n">
        <v>107</v>
      </c>
      <c r="D253" t="n">
        <v>99.15000000000001</v>
      </c>
    </row>
    <row r="254">
      <c r="A254" t="n">
        <v>22304</v>
      </c>
      <c r="B254" t="inlineStr">
        <is>
          <t>泰茂四</t>
        </is>
      </c>
      <c r="C254" t="n">
        <v>470</v>
      </c>
      <c r="D254" t="n">
        <v>121.45</v>
      </c>
    </row>
    <row r="255">
      <c r="A255" t="n">
        <v>22311</v>
      </c>
      <c r="B255" t="inlineStr">
        <is>
          <t>為升一</t>
        </is>
      </c>
      <c r="C255" t="n">
        <v>522</v>
      </c>
      <c r="D255" t="n">
        <v>107</v>
      </c>
    </row>
    <row r="256">
      <c r="A256" t="n">
        <v>22312</v>
      </c>
      <c r="B256" t="inlineStr">
        <is>
          <t>為升二</t>
        </is>
      </c>
      <c r="C256" t="n">
        <v>158</v>
      </c>
      <c r="D256" t="n">
        <v>100.6</v>
      </c>
    </row>
    <row r="257">
      <c r="A257" t="n">
        <v>22313</v>
      </c>
      <c r="B257" t="inlineStr">
        <is>
          <t>為升三</t>
        </is>
      </c>
      <c r="C257" t="n">
        <v>134.3</v>
      </c>
      <c r="D257" t="n">
        <v>98.59999999999999</v>
      </c>
    </row>
    <row r="258">
      <c r="A258" t="n">
        <v>22331</v>
      </c>
      <c r="B258" t="inlineStr">
        <is>
          <t>宇隆一</t>
        </is>
      </c>
      <c r="C258" t="n">
        <v>175</v>
      </c>
      <c r="D258" t="n">
        <v>111.1</v>
      </c>
      <c r="E258" t="inlineStr">
        <is>
          <t>H</t>
        </is>
      </c>
      <c r="F258" s="208" t="n">
        <v>0.1437908496732026</v>
      </c>
    </row>
    <row r="259">
      <c r="A259" t="n">
        <v>22361</v>
      </c>
      <c r="B259" t="inlineStr">
        <is>
          <t>百達一KY</t>
        </is>
      </c>
      <c r="C259" t="n">
        <v>125</v>
      </c>
      <c r="D259" t="n">
        <v>99.8</v>
      </c>
    </row>
    <row r="260">
      <c r="A260" t="n">
        <v>22362</v>
      </c>
      <c r="B260" t="inlineStr">
        <is>
          <t>百達二KY</t>
        </is>
      </c>
      <c r="C260" t="n">
        <v>215</v>
      </c>
      <c r="D260" t="n">
        <v>104</v>
      </c>
    </row>
    <row r="261">
      <c r="A261" t="n">
        <v>22363</v>
      </c>
      <c r="B261" t="inlineStr">
        <is>
          <t>百達三K</t>
        </is>
      </c>
      <c r="C261" t="n">
        <v>123.6</v>
      </c>
      <c r="D261" t="n">
        <v>90.5</v>
      </c>
      <c r="E261" t="inlineStr">
        <is>
          <t>H</t>
        </is>
      </c>
      <c r="F261" s="208" t="n">
        <v>0.1135135135135135</v>
      </c>
    </row>
    <row r="262">
      <c r="A262" t="n">
        <v>22391</v>
      </c>
      <c r="B262" t="inlineStr">
        <is>
          <t>英利一KY</t>
        </is>
      </c>
      <c r="C262" t="n">
        <v>119.9</v>
      </c>
      <c r="D262" t="n">
        <v>99.09999999999999</v>
      </c>
    </row>
    <row r="263">
      <c r="A263" t="n">
        <v>22392</v>
      </c>
      <c r="B263" t="inlineStr">
        <is>
          <t>英利二KY</t>
        </is>
      </c>
      <c r="C263" t="n">
        <v>108.5</v>
      </c>
      <c r="D263" t="n">
        <v>96.8</v>
      </c>
    </row>
    <row r="264">
      <c r="A264" t="n">
        <v>22393</v>
      </c>
      <c r="B264" t="inlineStr">
        <is>
          <t>英利三KY</t>
        </is>
      </c>
      <c r="C264" t="n">
        <v>130</v>
      </c>
      <c r="D264" t="n">
        <v>99.5</v>
      </c>
    </row>
    <row r="265">
      <c r="A265" t="n">
        <v>22431</v>
      </c>
      <c r="B265" t="inlineStr">
        <is>
          <t>宏旭一KY</t>
        </is>
      </c>
      <c r="C265" t="n">
        <v>134</v>
      </c>
      <c r="D265" t="n">
        <v>80.59999999999999</v>
      </c>
    </row>
    <row r="266">
      <c r="A266" t="n">
        <v>22471</v>
      </c>
      <c r="B266" t="inlineStr">
        <is>
          <t>汎德一</t>
        </is>
      </c>
      <c r="C266" t="n">
        <v>118.5</v>
      </c>
      <c r="D266" t="n">
        <v>100</v>
      </c>
      <c r="F266" s="208" t="inlineStr"/>
    </row>
    <row r="267">
      <c r="A267" t="n">
        <v>22472</v>
      </c>
      <c r="B267" t="inlineStr">
        <is>
          <t>汎德二</t>
        </is>
      </c>
      <c r="C267" t="n">
        <v>119.95</v>
      </c>
      <c r="D267" t="n">
        <v>100.1</v>
      </c>
      <c r="E267" t="inlineStr">
        <is>
          <t>L</t>
        </is>
      </c>
      <c r="F267" s="208" t="n">
        <v>-0.003980099502487618</v>
      </c>
    </row>
    <row r="268">
      <c r="A268" t="n">
        <v>22501</v>
      </c>
      <c r="B268" t="inlineStr">
        <is>
          <t>IKKA一KY</t>
        </is>
      </c>
      <c r="C268" t="n">
        <v>185</v>
      </c>
      <c r="D268" t="n">
        <v>100.2</v>
      </c>
    </row>
    <row r="269">
      <c r="A269" t="n">
        <v>23131</v>
      </c>
      <c r="B269" t="inlineStr">
        <is>
          <t>華通一</t>
        </is>
      </c>
      <c r="C269" t="n">
        <v>117</v>
      </c>
      <c r="D269" t="n">
        <v>112</v>
      </c>
    </row>
    <row r="270">
      <c r="A270" t="n">
        <v>23132</v>
      </c>
      <c r="B270" t="inlineStr">
        <is>
          <t xml:space="preserve">華通二    </t>
        </is>
      </c>
      <c r="C270" t="n">
        <v>165</v>
      </c>
      <c r="D270" t="n">
        <v>99</v>
      </c>
    </row>
    <row r="271">
      <c r="A271" t="n">
        <v>23133</v>
      </c>
      <c r="B271" t="inlineStr">
        <is>
          <t xml:space="preserve">華通三    </t>
        </is>
      </c>
      <c r="C271" t="n">
        <v>179</v>
      </c>
      <c r="D271" t="n">
        <v>96.5</v>
      </c>
    </row>
    <row r="272">
      <c r="A272" t="n">
        <v>23141</v>
      </c>
      <c r="B272" t="inlineStr">
        <is>
          <t>台揚一</t>
        </is>
      </c>
      <c r="C272" t="n">
        <v>116</v>
      </c>
      <c r="D272" t="n">
        <v>82</v>
      </c>
    </row>
    <row r="273">
      <c r="A273" t="n">
        <v>23142</v>
      </c>
      <c r="B273" t="inlineStr">
        <is>
          <t>台揚二</t>
        </is>
      </c>
      <c r="C273" t="n">
        <v>153</v>
      </c>
      <c r="D273" t="n">
        <v>104</v>
      </c>
    </row>
    <row r="274">
      <c r="A274" t="n">
        <v>23171</v>
      </c>
      <c r="B274" t="inlineStr">
        <is>
          <t>鴻海一</t>
        </is>
      </c>
      <c r="C274" t="n">
        <v>113.5</v>
      </c>
      <c r="D274" t="n">
        <v>94.5</v>
      </c>
    </row>
    <row r="275">
      <c r="A275" t="n">
        <v>23291</v>
      </c>
      <c r="B275" t="inlineStr">
        <is>
          <t>華泰一</t>
        </is>
      </c>
      <c r="C275" t="n">
        <v>135.7</v>
      </c>
      <c r="D275" t="n">
        <v>112.2</v>
      </c>
    </row>
    <row r="276">
      <c r="A276" t="n">
        <v>23323</v>
      </c>
      <c r="B276" t="inlineStr">
        <is>
          <t>友訊三</t>
        </is>
      </c>
      <c r="C276" t="n">
        <v>108.8</v>
      </c>
      <c r="D276" t="n">
        <v>93.09999999999999</v>
      </c>
    </row>
    <row r="277">
      <c r="A277" t="n">
        <v>23331</v>
      </c>
      <c r="B277" t="inlineStr">
        <is>
          <t>碧悠一</t>
        </is>
      </c>
      <c r="C277" t="n">
        <v>113.5</v>
      </c>
      <c r="D277" t="n">
        <v>98.5</v>
      </c>
    </row>
    <row r="278">
      <c r="A278" t="n">
        <v>23371</v>
      </c>
      <c r="B278" t="inlineStr">
        <is>
          <t>旺宏一</t>
        </is>
      </c>
      <c r="C278" t="n">
        <v>184</v>
      </c>
      <c r="D278" t="n">
        <v>87</v>
      </c>
    </row>
    <row r="279">
      <c r="A279" t="n">
        <v>23372</v>
      </c>
      <c r="B279" t="inlineStr">
        <is>
          <t>旺宏二</t>
        </is>
      </c>
      <c r="C279" t="n">
        <v>702</v>
      </c>
      <c r="D279" t="n">
        <v>87</v>
      </c>
      <c r="F279" s="208" t="inlineStr"/>
    </row>
    <row r="280">
      <c r="A280" t="n">
        <v>23382</v>
      </c>
      <c r="B280" t="inlineStr">
        <is>
          <t>光罩二</t>
        </is>
      </c>
      <c r="C280" t="n">
        <v>117.5</v>
      </c>
      <c r="D280" t="n">
        <v>97.90000000000001</v>
      </c>
    </row>
    <row r="281">
      <c r="A281" t="n">
        <v>23383</v>
      </c>
      <c r="B281" t="inlineStr">
        <is>
          <t>光罩三</t>
        </is>
      </c>
      <c r="C281" t="n">
        <v>132.5</v>
      </c>
      <c r="D281" t="n">
        <v>92.7</v>
      </c>
    </row>
    <row r="282">
      <c r="A282" t="n">
        <v>23401</v>
      </c>
      <c r="B282" t="inlineStr">
        <is>
          <t>光磊二</t>
        </is>
      </c>
      <c r="C282" t="n">
        <v>154</v>
      </c>
      <c r="D282" t="n">
        <v>67</v>
      </c>
    </row>
    <row r="283">
      <c r="A283" t="n">
        <v>23471</v>
      </c>
      <c r="B283" t="inlineStr">
        <is>
          <t>聯強一</t>
        </is>
      </c>
      <c r="C283" t="n">
        <v>149.9</v>
      </c>
      <c r="D283" t="n">
        <v>79</v>
      </c>
    </row>
    <row r="284">
      <c r="A284" t="n">
        <v>23472</v>
      </c>
      <c r="B284" t="inlineStr">
        <is>
          <t>聯強二</t>
        </is>
      </c>
      <c r="C284" t="n">
        <v>104.8</v>
      </c>
      <c r="D284" t="n">
        <v>97</v>
      </c>
    </row>
    <row r="285">
      <c r="A285" t="n">
        <v>23481</v>
      </c>
      <c r="B285" t="inlineStr">
        <is>
          <t>海悅一</t>
        </is>
      </c>
      <c r="C285" t="n">
        <v>208</v>
      </c>
      <c r="D285" t="n">
        <v>109</v>
      </c>
    </row>
    <row r="286">
      <c r="A286" t="n">
        <v>23511</v>
      </c>
      <c r="B286" t="inlineStr">
        <is>
          <t>順德一</t>
        </is>
      </c>
      <c r="C286" t="n">
        <v>317</v>
      </c>
      <c r="D286" t="n">
        <v>102.2</v>
      </c>
      <c r="E286" t="inlineStr">
        <is>
          <t>H</t>
        </is>
      </c>
      <c r="F286" s="208" t="n">
        <v>0.348936170212766</v>
      </c>
    </row>
    <row r="287">
      <c r="A287" t="n">
        <v>23521</v>
      </c>
      <c r="B287" t="inlineStr">
        <is>
          <t>明碁一</t>
        </is>
      </c>
      <c r="C287" t="n">
        <v>100</v>
      </c>
      <c r="D287" t="n">
        <v>99</v>
      </c>
    </row>
    <row r="288">
      <c r="A288" t="n">
        <v>23532</v>
      </c>
      <c r="B288" t="inlineStr">
        <is>
          <t>宏碁二</t>
        </is>
      </c>
      <c r="C288" t="n">
        <v>105</v>
      </c>
      <c r="D288" t="n">
        <v>92.55</v>
      </c>
    </row>
    <row r="289">
      <c r="A289" t="n">
        <v>23541</v>
      </c>
      <c r="B289" t="inlineStr">
        <is>
          <t>鴻準一</t>
        </is>
      </c>
      <c r="C289" t="n">
        <v>114.1</v>
      </c>
      <c r="D289" t="n">
        <v>81.75</v>
      </c>
    </row>
    <row r="290">
      <c r="A290" t="n">
        <v>23551</v>
      </c>
      <c r="B290" t="inlineStr">
        <is>
          <t>敬鵬一</t>
        </is>
      </c>
      <c r="C290" t="n">
        <v>156</v>
      </c>
      <c r="D290" t="n">
        <v>100</v>
      </c>
    </row>
    <row r="291">
      <c r="A291" t="n">
        <v>23571</v>
      </c>
      <c r="B291" t="inlineStr">
        <is>
          <t>華碩一</t>
        </is>
      </c>
      <c r="C291" t="n">
        <v>120.5</v>
      </c>
      <c r="D291" t="n">
        <v>94.40000000000001</v>
      </c>
    </row>
    <row r="292">
      <c r="A292" t="n">
        <v>23581</v>
      </c>
      <c r="B292" t="inlineStr">
        <is>
          <t>廷鑫一</t>
        </is>
      </c>
      <c r="C292" t="n">
        <v>118.5</v>
      </c>
      <c r="D292" t="n">
        <v>96.34999999999999</v>
      </c>
    </row>
    <row r="293">
      <c r="A293" t="n">
        <v>23601</v>
      </c>
      <c r="B293" t="inlineStr">
        <is>
          <t>致茂一</t>
        </is>
      </c>
      <c r="C293" t="n">
        <v>100</v>
      </c>
      <c r="D293" t="n">
        <v>99.5</v>
      </c>
    </row>
    <row r="294">
      <c r="A294" t="n">
        <v>23602</v>
      </c>
      <c r="B294" t="inlineStr">
        <is>
          <t>致茂二</t>
        </is>
      </c>
      <c r="C294" t="n">
        <v>309</v>
      </c>
      <c r="D294" t="n">
        <v>100</v>
      </c>
    </row>
    <row r="295">
      <c r="A295" t="n">
        <v>23651</v>
      </c>
      <c r="B295" t="inlineStr">
        <is>
          <t>昆盈一</t>
        </is>
      </c>
      <c r="C295" t="n">
        <v>117.5</v>
      </c>
      <c r="D295" t="n">
        <v>97</v>
      </c>
    </row>
    <row r="296">
      <c r="A296" t="n">
        <v>23652</v>
      </c>
      <c r="B296" t="inlineStr">
        <is>
          <t>昆盈二</t>
        </is>
      </c>
      <c r="C296" t="n">
        <v>115.2</v>
      </c>
      <c r="D296" t="n">
        <v>99.90000000000001</v>
      </c>
    </row>
    <row r="297">
      <c r="A297" t="n">
        <v>23671</v>
      </c>
      <c r="B297" t="inlineStr">
        <is>
          <t>燿華一</t>
        </is>
      </c>
      <c r="C297" t="n">
        <v>253</v>
      </c>
      <c r="D297" t="n">
        <v>105</v>
      </c>
    </row>
    <row r="298">
      <c r="A298" t="n">
        <v>23672</v>
      </c>
      <c r="B298" t="inlineStr">
        <is>
          <t>燿華二</t>
        </is>
      </c>
      <c r="C298" t="n">
        <v>263</v>
      </c>
      <c r="D298" t="n">
        <v>104.05</v>
      </c>
    </row>
    <row r="299">
      <c r="A299" t="n">
        <v>23681</v>
      </c>
      <c r="B299" t="inlineStr">
        <is>
          <t>金像電一</t>
        </is>
      </c>
      <c r="C299" t="n">
        <v>153</v>
      </c>
      <c r="D299" t="n">
        <v>104</v>
      </c>
    </row>
    <row r="300">
      <c r="A300" t="n">
        <v>23682</v>
      </c>
      <c r="B300" t="inlineStr">
        <is>
          <t>金像電二</t>
        </is>
      </c>
      <c r="C300" t="n">
        <v>323</v>
      </c>
      <c r="D300" t="n">
        <v>99.5</v>
      </c>
    </row>
    <row r="301">
      <c r="A301" t="n">
        <v>23683</v>
      </c>
      <c r="B301" t="inlineStr">
        <is>
          <t>金像電三</t>
        </is>
      </c>
      <c r="C301" t="n">
        <v>334</v>
      </c>
      <c r="D301" t="n">
        <v>124.15</v>
      </c>
      <c r="E301" t="inlineStr">
        <is>
          <t>H</t>
        </is>
      </c>
      <c r="F301" s="208" t="n">
        <v>0.03405572755417956</v>
      </c>
    </row>
    <row r="302">
      <c r="A302" t="n">
        <v>23691</v>
      </c>
      <c r="B302" t="inlineStr">
        <is>
          <t>菱生一</t>
        </is>
      </c>
      <c r="C302" t="n">
        <v>177</v>
      </c>
      <c r="D302" t="n">
        <v>91.3</v>
      </c>
    </row>
    <row r="303">
      <c r="A303" t="n">
        <v>23692</v>
      </c>
      <c r="B303" t="inlineStr">
        <is>
          <t>菱生二</t>
        </is>
      </c>
      <c r="C303" t="n">
        <v>187</v>
      </c>
      <c r="D303" t="n">
        <v>79.65000000000001</v>
      </c>
    </row>
    <row r="304">
      <c r="A304" t="n">
        <v>23711</v>
      </c>
      <c r="B304" t="inlineStr">
        <is>
          <t>大同一</t>
        </is>
      </c>
      <c r="C304" t="n">
        <v>161</v>
      </c>
      <c r="D304" t="n">
        <v>92.5</v>
      </c>
    </row>
    <row r="305">
      <c r="A305" t="n">
        <v>23712</v>
      </c>
      <c r="B305" t="inlineStr">
        <is>
          <t>大同二</t>
        </is>
      </c>
      <c r="C305" t="n">
        <v>122.35</v>
      </c>
      <c r="D305" t="n">
        <v>87.15000000000001</v>
      </c>
    </row>
    <row r="306">
      <c r="A306" t="n">
        <v>23741</v>
      </c>
      <c r="B306" t="inlineStr">
        <is>
          <t>佳能一</t>
        </is>
      </c>
      <c r="C306" t="n">
        <v>109.6</v>
      </c>
      <c r="D306" t="n">
        <v>98.09999999999999</v>
      </c>
    </row>
    <row r="307">
      <c r="A307" t="n">
        <v>23742</v>
      </c>
      <c r="B307" t="inlineStr">
        <is>
          <t>佳能二</t>
        </is>
      </c>
      <c r="C307" t="n">
        <v>137</v>
      </c>
      <c r="D307" t="n">
        <v>109</v>
      </c>
      <c r="E307" t="inlineStr">
        <is>
          <t>H</t>
        </is>
      </c>
      <c r="F307" s="208" t="n">
        <v>0.05384615384615385</v>
      </c>
    </row>
    <row r="308">
      <c r="A308" t="n">
        <v>23772</v>
      </c>
      <c r="B308" t="inlineStr">
        <is>
          <t>微星二</t>
        </is>
      </c>
      <c r="C308" t="n">
        <v>110</v>
      </c>
      <c r="D308" t="n">
        <v>71</v>
      </c>
    </row>
    <row r="309">
      <c r="A309" t="n">
        <v>23791</v>
      </c>
      <c r="B309" t="inlineStr">
        <is>
          <t>瑞昱一</t>
        </is>
      </c>
      <c r="C309" t="n">
        <v>146</v>
      </c>
      <c r="D309" t="n">
        <v>126</v>
      </c>
    </row>
    <row r="310">
      <c r="A310" t="n">
        <v>23831</v>
      </c>
      <c r="B310" t="inlineStr">
        <is>
          <t>台光電一</t>
        </is>
      </c>
      <c r="C310" t="n">
        <v>280</v>
      </c>
      <c r="D310" t="n">
        <v>62</v>
      </c>
    </row>
    <row r="311">
      <c r="A311" t="n">
        <v>23832</v>
      </c>
      <c r="B311" t="inlineStr">
        <is>
          <t>台光電二</t>
        </is>
      </c>
      <c r="C311" t="n">
        <v>214</v>
      </c>
      <c r="D311" t="n">
        <v>80</v>
      </c>
    </row>
    <row r="312">
      <c r="A312" t="n">
        <v>23833</v>
      </c>
      <c r="B312" t="inlineStr">
        <is>
          <t>台光電三</t>
        </is>
      </c>
      <c r="C312" t="n">
        <v>246</v>
      </c>
      <c r="D312" t="n">
        <v>100</v>
      </c>
    </row>
    <row r="313">
      <c r="A313" t="n">
        <v>23834</v>
      </c>
      <c r="B313" t="inlineStr">
        <is>
          <t>台光電四</t>
        </is>
      </c>
      <c r="C313" t="n">
        <v>166</v>
      </c>
      <c r="D313" t="n">
        <v>100.4</v>
      </c>
    </row>
    <row r="314">
      <c r="A314" t="n">
        <v>23835</v>
      </c>
      <c r="B314" t="inlineStr">
        <is>
          <t>台光電五</t>
        </is>
      </c>
      <c r="C314" t="n">
        <v>388</v>
      </c>
      <c r="D314" t="n">
        <v>97</v>
      </c>
    </row>
    <row r="315">
      <c r="A315" t="n">
        <v>23836</v>
      </c>
      <c r="B315" t="inlineStr">
        <is>
          <t>台光電六</t>
        </is>
      </c>
      <c r="C315" t="n">
        <v>230</v>
      </c>
      <c r="D315" t="n">
        <v>101.75</v>
      </c>
    </row>
    <row r="316">
      <c r="A316" t="n">
        <v>23837</v>
      </c>
      <c r="B316" t="inlineStr">
        <is>
          <t>台光電七</t>
        </is>
      </c>
      <c r="C316" t="n">
        <v>224</v>
      </c>
      <c r="D316" t="n">
        <v>105</v>
      </c>
    </row>
    <row r="317">
      <c r="A317" t="n">
        <v>23841</v>
      </c>
      <c r="B317" t="inlineStr">
        <is>
          <t>勝華一</t>
        </is>
      </c>
      <c r="C317" t="n">
        <v>133</v>
      </c>
      <c r="D317" t="n">
        <v>113.5</v>
      </c>
    </row>
    <row r="318">
      <c r="A318" t="n">
        <v>23851</v>
      </c>
      <c r="B318" t="inlineStr">
        <is>
          <t>群光一</t>
        </is>
      </c>
      <c r="C318" t="n">
        <v>169</v>
      </c>
      <c r="D318" t="n">
        <v>83</v>
      </c>
    </row>
    <row r="319">
      <c r="A319" t="n">
        <v>23881</v>
      </c>
      <c r="B319" t="inlineStr">
        <is>
          <t>威盛一</t>
        </is>
      </c>
      <c r="C319" t="n">
        <v>122</v>
      </c>
      <c r="D319" t="n">
        <v>103.8</v>
      </c>
    </row>
    <row r="320">
      <c r="A320" t="n">
        <v>23891</v>
      </c>
      <c r="B320" t="inlineStr">
        <is>
          <t>世昕一</t>
        </is>
      </c>
      <c r="C320" t="n">
        <v>115</v>
      </c>
      <c r="D320" t="n">
        <v>92.5</v>
      </c>
    </row>
    <row r="321">
      <c r="A321" t="n">
        <v>23901</v>
      </c>
      <c r="B321" t="inlineStr">
        <is>
          <t>云辰一</t>
        </is>
      </c>
      <c r="C321" t="n">
        <v>109.1</v>
      </c>
      <c r="D321" t="n">
        <v>108.4</v>
      </c>
    </row>
    <row r="322">
      <c r="A322" t="n">
        <v>23921</v>
      </c>
      <c r="B322" t="inlineStr">
        <is>
          <t>正崴一</t>
        </is>
      </c>
      <c r="C322" t="n">
        <v>110.1</v>
      </c>
      <c r="D322" t="n">
        <v>92.05</v>
      </c>
    </row>
    <row r="323">
      <c r="A323" t="n">
        <v>23932</v>
      </c>
      <c r="B323" t="inlineStr">
        <is>
          <t>億光二</t>
        </is>
      </c>
      <c r="C323" t="n">
        <v>169</v>
      </c>
      <c r="D323" t="n">
        <v>93</v>
      </c>
    </row>
    <row r="324">
      <c r="A324" t="n">
        <v>23933</v>
      </c>
      <c r="B324" t="inlineStr">
        <is>
          <t>億光三</t>
        </is>
      </c>
      <c r="C324" t="n">
        <v>130.45</v>
      </c>
      <c r="D324" t="n">
        <v>79.25</v>
      </c>
    </row>
    <row r="325">
      <c r="A325" t="n">
        <v>23934</v>
      </c>
      <c r="B325" t="inlineStr">
        <is>
          <t>億光四</t>
        </is>
      </c>
      <c r="C325" t="n">
        <v>120.7</v>
      </c>
      <c r="D325" t="n">
        <v>101.3</v>
      </c>
    </row>
    <row r="326">
      <c r="A326" t="n">
        <v>23935</v>
      </c>
      <c r="B326" t="inlineStr">
        <is>
          <t>億光五</t>
        </is>
      </c>
      <c r="C326" t="n">
        <v>120.1</v>
      </c>
      <c r="D326" t="n">
        <v>97.90000000000001</v>
      </c>
    </row>
    <row r="327">
      <c r="A327" t="n">
        <v>23936</v>
      </c>
      <c r="B327" t="inlineStr">
        <is>
          <t>億光六</t>
        </is>
      </c>
      <c r="C327" t="n">
        <v>101.2</v>
      </c>
      <c r="D327" t="n">
        <v>95</v>
      </c>
    </row>
    <row r="328">
      <c r="A328" t="n">
        <v>23952</v>
      </c>
      <c r="B328" t="inlineStr">
        <is>
          <t>研華二</t>
        </is>
      </c>
      <c r="C328" t="n">
        <v>274</v>
      </c>
      <c r="D328" t="n">
        <v>104</v>
      </c>
    </row>
    <row r="329">
      <c r="A329" t="n">
        <v>23981</v>
      </c>
      <c r="B329" t="inlineStr">
        <is>
          <t>博達一</t>
        </is>
      </c>
      <c r="C329" t="n">
        <v>112.9</v>
      </c>
      <c r="D329" t="n">
        <v>88.2</v>
      </c>
    </row>
    <row r="330">
      <c r="A330" t="n">
        <v>24021</v>
      </c>
      <c r="B330" t="inlineStr">
        <is>
          <t>毅嘉一</t>
        </is>
      </c>
      <c r="C330" t="n">
        <v>188</v>
      </c>
      <c r="D330" t="n">
        <v>130</v>
      </c>
    </row>
    <row r="331">
      <c r="A331" t="n">
        <v>24022</v>
      </c>
      <c r="B331" t="inlineStr">
        <is>
          <t>毅嘉二</t>
        </is>
      </c>
      <c r="C331" t="n">
        <v>106.45</v>
      </c>
      <c r="D331" t="n">
        <v>94.2</v>
      </c>
    </row>
    <row r="332">
      <c r="A332" t="n">
        <v>24023</v>
      </c>
      <c r="B332" t="inlineStr">
        <is>
          <t>毅嘉三</t>
        </is>
      </c>
      <c r="C332" t="n">
        <v>160</v>
      </c>
      <c r="D332" t="n">
        <v>102.65</v>
      </c>
      <c r="F332" s="208" t="inlineStr"/>
    </row>
    <row r="333">
      <c r="A333" t="n">
        <v>24061</v>
      </c>
      <c r="B333" t="inlineStr">
        <is>
          <t>國碩一</t>
        </is>
      </c>
      <c r="C333" t="n">
        <v>123</v>
      </c>
      <c r="D333" t="n">
        <v>98.55</v>
      </c>
    </row>
    <row r="334">
      <c r="A334" t="n">
        <v>24062</v>
      </c>
      <c r="B334" t="inlineStr">
        <is>
          <t>國碩二</t>
        </is>
      </c>
      <c r="C334" t="n">
        <v>184</v>
      </c>
      <c r="D334" t="n">
        <v>100</v>
      </c>
    </row>
    <row r="335">
      <c r="A335" t="n">
        <v>24063</v>
      </c>
      <c r="B335" t="inlineStr">
        <is>
          <t>國碩三</t>
        </is>
      </c>
      <c r="C335" t="n">
        <v>183</v>
      </c>
      <c r="D335" t="n">
        <v>100.15</v>
      </c>
    </row>
    <row r="336">
      <c r="A336" t="n">
        <v>24064</v>
      </c>
      <c r="B336" t="inlineStr">
        <is>
          <t>國碩四</t>
        </is>
      </c>
      <c r="C336" t="n">
        <v>113.6</v>
      </c>
      <c r="D336" t="n">
        <v>101.5</v>
      </c>
    </row>
    <row r="337">
      <c r="A337" t="n">
        <v>24071</v>
      </c>
      <c r="B337" t="inlineStr">
        <is>
          <t>陞技一</t>
        </is>
      </c>
      <c r="C337" t="n">
        <v>127.4</v>
      </c>
      <c r="D337" t="n">
        <v>42.9</v>
      </c>
    </row>
    <row r="338">
      <c r="A338" t="n">
        <v>24081</v>
      </c>
      <c r="B338" t="inlineStr">
        <is>
          <t>南科一</t>
        </is>
      </c>
      <c r="C338" t="n">
        <v>109.5</v>
      </c>
      <c r="D338" t="n">
        <v>97</v>
      </c>
    </row>
    <row r="339">
      <c r="A339" t="n">
        <v>24091</v>
      </c>
      <c r="B339" t="inlineStr">
        <is>
          <t>友達一</t>
        </is>
      </c>
      <c r="C339" t="n">
        <v>316</v>
      </c>
      <c r="D339" t="n">
        <v>216</v>
      </c>
    </row>
    <row r="340">
      <c r="A340" t="n">
        <v>24092</v>
      </c>
      <c r="B340" t="inlineStr">
        <is>
          <t>友達二</t>
        </is>
      </c>
      <c r="C340" t="n">
        <v>112.5</v>
      </c>
      <c r="D340" t="n">
        <v>95.75</v>
      </c>
    </row>
    <row r="341">
      <c r="A341" t="n">
        <v>24093</v>
      </c>
      <c r="B341" t="inlineStr">
        <is>
          <t>友達三</t>
        </is>
      </c>
      <c r="C341" t="n">
        <v>167</v>
      </c>
      <c r="D341" t="n">
        <v>85</v>
      </c>
    </row>
    <row r="342">
      <c r="A342" t="n">
        <v>24131</v>
      </c>
      <c r="B342" t="inlineStr">
        <is>
          <t>環科一</t>
        </is>
      </c>
      <c r="C342" t="n">
        <v>124.4</v>
      </c>
      <c r="D342" t="n">
        <v>109.5</v>
      </c>
    </row>
    <row r="343">
      <c r="A343" t="n">
        <v>24141</v>
      </c>
      <c r="B343" t="inlineStr">
        <is>
          <t>精技一</t>
        </is>
      </c>
      <c r="C343" t="n">
        <v>184</v>
      </c>
      <c r="D343" t="n">
        <v>82</v>
      </c>
    </row>
    <row r="344">
      <c r="A344" t="n">
        <v>24151</v>
      </c>
      <c r="B344" t="inlineStr">
        <is>
          <t>錩新一</t>
        </is>
      </c>
      <c r="C344" t="n">
        <v>122.4</v>
      </c>
      <c r="D344" t="n">
        <v>86.3</v>
      </c>
    </row>
    <row r="345">
      <c r="A345" t="n">
        <v>24172</v>
      </c>
      <c r="B345" t="inlineStr">
        <is>
          <t>圓剛二</t>
        </is>
      </c>
      <c r="C345" t="n">
        <v>229</v>
      </c>
      <c r="D345" t="n">
        <v>99</v>
      </c>
    </row>
    <row r="346">
      <c r="A346" t="n">
        <v>24182</v>
      </c>
      <c r="B346" t="inlineStr">
        <is>
          <t>雅新二</t>
        </is>
      </c>
      <c r="C346" t="n">
        <v>258</v>
      </c>
      <c r="D346" t="n">
        <v>206</v>
      </c>
    </row>
    <row r="347">
      <c r="A347" t="n">
        <v>24183</v>
      </c>
      <c r="B347" t="inlineStr">
        <is>
          <t>雅新三</t>
        </is>
      </c>
      <c r="C347" t="n">
        <v>214</v>
      </c>
      <c r="D347" t="n">
        <v>146</v>
      </c>
    </row>
    <row r="348">
      <c r="A348" t="n">
        <v>24191</v>
      </c>
      <c r="B348" t="inlineStr">
        <is>
          <t>仲琦一</t>
        </is>
      </c>
      <c r="C348" t="n">
        <v>120</v>
      </c>
      <c r="D348" t="n">
        <v>102.5</v>
      </c>
    </row>
    <row r="349">
      <c r="A349" t="n">
        <v>24192</v>
      </c>
      <c r="B349" t="inlineStr">
        <is>
          <t>仲琦二</t>
        </is>
      </c>
      <c r="C349" t="n">
        <v>194</v>
      </c>
      <c r="D349" t="n">
        <v>105</v>
      </c>
    </row>
    <row r="350">
      <c r="A350" t="n">
        <v>24193</v>
      </c>
      <c r="B350" t="inlineStr">
        <is>
          <t>仲琦三</t>
        </is>
      </c>
      <c r="C350" t="n">
        <v>152</v>
      </c>
      <c r="D350" t="n">
        <v>99.05</v>
      </c>
    </row>
    <row r="351">
      <c r="A351" t="n">
        <v>24194</v>
      </c>
      <c r="B351" t="inlineStr">
        <is>
          <t>仲琦四</t>
        </is>
      </c>
      <c r="C351" t="n">
        <v>134.2</v>
      </c>
      <c r="D351" t="n">
        <v>105</v>
      </c>
    </row>
    <row r="352">
      <c r="A352" t="n">
        <v>24212</v>
      </c>
      <c r="B352" t="inlineStr">
        <is>
          <t>建準二</t>
        </is>
      </c>
      <c r="C352" t="n">
        <v>155</v>
      </c>
      <c r="D352" t="n">
        <v>99.5</v>
      </c>
    </row>
    <row r="353">
      <c r="A353" t="n">
        <v>24213</v>
      </c>
      <c r="B353" t="inlineStr">
        <is>
          <t>建準三</t>
        </is>
      </c>
      <c r="C353" t="n">
        <v>289</v>
      </c>
      <c r="D353" t="n">
        <v>127.05</v>
      </c>
    </row>
    <row r="354">
      <c r="A354" t="n">
        <v>24241</v>
      </c>
      <c r="B354" t="inlineStr">
        <is>
          <t>隴華一</t>
        </is>
      </c>
      <c r="C354" t="n">
        <v>185</v>
      </c>
      <c r="D354" t="n">
        <v>107</v>
      </c>
    </row>
    <row r="355">
      <c r="A355" t="n">
        <v>24261</v>
      </c>
      <c r="B355" t="inlineStr">
        <is>
          <t>鼎元一</t>
        </is>
      </c>
      <c r="C355" t="n">
        <v>147.95</v>
      </c>
      <c r="D355" t="n">
        <v>108</v>
      </c>
    </row>
    <row r="356">
      <c r="A356" t="n">
        <v>24262</v>
      </c>
      <c r="B356" t="inlineStr">
        <is>
          <t>鼎元二</t>
        </is>
      </c>
      <c r="C356" t="n">
        <v>206</v>
      </c>
      <c r="D356" t="n">
        <v>107</v>
      </c>
    </row>
    <row r="357">
      <c r="A357" t="n">
        <v>24263</v>
      </c>
      <c r="B357" t="inlineStr">
        <is>
          <t>鼎元三</t>
        </is>
      </c>
      <c r="C357" t="n">
        <v>207</v>
      </c>
      <c r="D357" t="n">
        <v>103</v>
      </c>
    </row>
    <row r="358">
      <c r="A358" t="n">
        <v>24264</v>
      </c>
      <c r="B358" t="inlineStr">
        <is>
          <t>鼎元四</t>
        </is>
      </c>
      <c r="C358" t="n">
        <v>197</v>
      </c>
      <c r="D358" t="n">
        <v>102.5</v>
      </c>
    </row>
    <row r="359">
      <c r="A359" t="n">
        <v>24265</v>
      </c>
      <c r="B359" t="inlineStr">
        <is>
          <t>鼎元五</t>
        </is>
      </c>
      <c r="C359" t="n">
        <v>196</v>
      </c>
      <c r="D359" t="n">
        <v>102.5</v>
      </c>
    </row>
    <row r="360">
      <c r="A360" t="n">
        <v>24266</v>
      </c>
      <c r="B360" t="inlineStr">
        <is>
          <t>鼎元六</t>
        </is>
      </c>
      <c r="C360" t="n">
        <v>134.1</v>
      </c>
      <c r="D360" t="n">
        <v>99</v>
      </c>
    </row>
    <row r="361">
      <c r="A361" t="n">
        <v>24267</v>
      </c>
      <c r="B361" t="inlineStr">
        <is>
          <t>鼎元七</t>
        </is>
      </c>
      <c r="C361" t="n">
        <v>136</v>
      </c>
      <c r="D361" t="n">
        <v>101</v>
      </c>
    </row>
    <row r="362">
      <c r="A362" t="n">
        <v>24268</v>
      </c>
      <c r="B362" t="inlineStr">
        <is>
          <t>鼎元八</t>
        </is>
      </c>
      <c r="C362" t="n">
        <v>162</v>
      </c>
      <c r="D362" t="n">
        <v>107</v>
      </c>
    </row>
    <row r="363">
      <c r="A363" t="n">
        <v>24271</v>
      </c>
      <c r="B363" t="inlineStr">
        <is>
          <t>三商電一</t>
        </is>
      </c>
      <c r="C363" t="n">
        <v>132</v>
      </c>
      <c r="D363" t="n">
        <v>96.09999999999999</v>
      </c>
    </row>
    <row r="364">
      <c r="A364" t="n">
        <v>24281</v>
      </c>
      <c r="B364" t="inlineStr">
        <is>
          <t>興勤一</t>
        </is>
      </c>
      <c r="C364" t="n">
        <v>153</v>
      </c>
      <c r="D364" t="n">
        <v>100.1</v>
      </c>
    </row>
    <row r="365">
      <c r="A365" t="n">
        <v>24282</v>
      </c>
      <c r="B365" t="inlineStr">
        <is>
          <t>興勤二</t>
        </is>
      </c>
      <c r="C365" t="n">
        <v>252</v>
      </c>
      <c r="D365" t="n">
        <v>82.5</v>
      </c>
    </row>
    <row r="366">
      <c r="A366" t="n">
        <v>24283</v>
      </c>
      <c r="B366" t="inlineStr">
        <is>
          <t>興勤三</t>
        </is>
      </c>
      <c r="C366" t="n">
        <v>152</v>
      </c>
      <c r="D366" t="n">
        <v>98.40000000000001</v>
      </c>
    </row>
    <row r="367">
      <c r="A367" t="n">
        <v>24341</v>
      </c>
      <c r="B367" t="inlineStr">
        <is>
          <t>統懋一</t>
        </is>
      </c>
      <c r="C367" t="n">
        <v>118.6</v>
      </c>
      <c r="D367" t="n">
        <v>108</v>
      </c>
    </row>
    <row r="368">
      <c r="A368" t="n">
        <v>24342</v>
      </c>
      <c r="B368" t="inlineStr">
        <is>
          <t>統懋二</t>
        </is>
      </c>
      <c r="C368" t="n">
        <v>111</v>
      </c>
      <c r="D368" t="n">
        <v>61.5</v>
      </c>
    </row>
    <row r="369">
      <c r="A369" t="n">
        <v>24361</v>
      </c>
      <c r="B369" t="inlineStr">
        <is>
          <t>偉詮電一</t>
        </is>
      </c>
      <c r="C369" t="n">
        <v>152</v>
      </c>
      <c r="D369" t="n">
        <v>98.90000000000001</v>
      </c>
      <c r="E369" t="inlineStr">
        <is>
          <t>H</t>
        </is>
      </c>
      <c r="F369" s="208" t="n">
        <v>0.02013422818791946</v>
      </c>
    </row>
    <row r="370">
      <c r="A370" t="n">
        <v>24371</v>
      </c>
      <c r="B370" t="inlineStr">
        <is>
          <t>旺詮一</t>
        </is>
      </c>
      <c r="C370" t="n">
        <v>140.5</v>
      </c>
      <c r="D370" t="n">
        <v>100.5</v>
      </c>
    </row>
    <row r="371">
      <c r="A371" t="n">
        <v>24391</v>
      </c>
      <c r="B371" t="inlineStr">
        <is>
          <t>美律一</t>
        </is>
      </c>
      <c r="C371" t="n">
        <v>239</v>
      </c>
      <c r="D371" t="n">
        <v>95.8</v>
      </c>
    </row>
    <row r="372">
      <c r="A372" t="n">
        <v>24392</v>
      </c>
      <c r="B372" t="inlineStr">
        <is>
          <t>美律二</t>
        </is>
      </c>
      <c r="C372" t="n">
        <v>130.8</v>
      </c>
      <c r="D372" t="n">
        <v>99.15000000000001</v>
      </c>
    </row>
    <row r="373">
      <c r="A373" t="n">
        <v>24393</v>
      </c>
      <c r="B373" t="inlineStr">
        <is>
          <t>美律三</t>
        </is>
      </c>
      <c r="C373" t="n">
        <v>140.1</v>
      </c>
      <c r="D373" t="n">
        <v>97</v>
      </c>
    </row>
    <row r="374">
      <c r="A374" t="n">
        <v>24394</v>
      </c>
      <c r="B374" t="inlineStr">
        <is>
          <t>美律四</t>
        </is>
      </c>
      <c r="C374" t="n">
        <v>117.65</v>
      </c>
      <c r="D374" t="n">
        <v>100</v>
      </c>
    </row>
    <row r="375">
      <c r="A375" t="n">
        <v>24395</v>
      </c>
      <c r="B375" t="inlineStr">
        <is>
          <t>美律五</t>
        </is>
      </c>
      <c r="C375" t="n">
        <v>119.65</v>
      </c>
      <c r="D375" t="n">
        <v>100.05</v>
      </c>
    </row>
    <row r="376">
      <c r="A376" t="n">
        <v>24401</v>
      </c>
      <c r="B376" t="inlineStr">
        <is>
          <t>太空一</t>
        </is>
      </c>
      <c r="C376" t="n">
        <v>150</v>
      </c>
      <c r="D376" t="n">
        <v>77.59999999999999</v>
      </c>
    </row>
    <row r="377">
      <c r="A377" t="n">
        <v>24411</v>
      </c>
      <c r="B377" t="inlineStr">
        <is>
          <t>超豐一</t>
        </is>
      </c>
      <c r="C377" t="n">
        <v>203</v>
      </c>
      <c r="D377" t="n">
        <v>97.34999999999999</v>
      </c>
    </row>
    <row r="378">
      <c r="A378" t="n">
        <v>24421</v>
      </c>
      <c r="B378" t="inlineStr">
        <is>
          <t>美齊一</t>
        </is>
      </c>
      <c r="C378" t="n">
        <v>109.2</v>
      </c>
      <c r="D378" t="n">
        <v>78.2</v>
      </c>
    </row>
    <row r="379">
      <c r="A379" t="n">
        <v>24422</v>
      </c>
      <c r="B379" t="inlineStr">
        <is>
          <t>新美齊二</t>
        </is>
      </c>
      <c r="C379" t="n">
        <v>158</v>
      </c>
      <c r="D379" t="n">
        <v>104.05</v>
      </c>
    </row>
    <row r="380">
      <c r="A380" t="n">
        <v>24423</v>
      </c>
      <c r="B380" t="inlineStr">
        <is>
          <t>新美齊三</t>
        </is>
      </c>
      <c r="C380" t="n">
        <v>112.5</v>
      </c>
      <c r="D380" t="n">
        <v>91</v>
      </c>
    </row>
    <row r="381">
      <c r="A381" t="n">
        <v>24424</v>
      </c>
      <c r="B381" t="inlineStr">
        <is>
          <t>新美齊四</t>
        </is>
      </c>
      <c r="C381" t="n">
        <v>111.3</v>
      </c>
      <c r="D381" t="n">
        <v>90.45</v>
      </c>
    </row>
    <row r="382">
      <c r="A382" t="n">
        <v>24441</v>
      </c>
      <c r="B382" t="inlineStr">
        <is>
          <t>友旺一</t>
        </is>
      </c>
      <c r="C382" t="n">
        <v>113</v>
      </c>
      <c r="D382" t="n">
        <v>45.25</v>
      </c>
    </row>
    <row r="383">
      <c r="A383" t="n">
        <v>24442</v>
      </c>
      <c r="B383" t="inlineStr">
        <is>
          <t>友旺二</t>
        </is>
      </c>
      <c r="C383" t="n">
        <v>287</v>
      </c>
      <c r="D383" t="n">
        <v>100.05</v>
      </c>
    </row>
    <row r="384">
      <c r="A384" t="n">
        <v>24461</v>
      </c>
      <c r="B384" t="inlineStr">
        <is>
          <t>全懋一</t>
        </is>
      </c>
      <c r="C384" t="n">
        <v>254</v>
      </c>
      <c r="D384" t="n">
        <v>147</v>
      </c>
    </row>
    <row r="385">
      <c r="A385" t="n">
        <v>24471</v>
      </c>
      <c r="B385" t="inlineStr">
        <is>
          <t>鼎新一</t>
        </is>
      </c>
      <c r="C385" t="n">
        <v>201</v>
      </c>
      <c r="D385" t="n">
        <v>99</v>
      </c>
    </row>
    <row r="386">
      <c r="A386" t="n">
        <v>24481</v>
      </c>
      <c r="B386" t="inlineStr">
        <is>
          <t>晶電一</t>
        </is>
      </c>
      <c r="C386" t="n">
        <v>194</v>
      </c>
      <c r="D386" t="n">
        <v>107</v>
      </c>
    </row>
    <row r="387">
      <c r="A387" t="n">
        <v>24482</v>
      </c>
      <c r="B387" t="inlineStr">
        <is>
          <t>晶電二</t>
        </is>
      </c>
      <c r="C387" t="n">
        <v>185</v>
      </c>
      <c r="D387" t="n">
        <v>118.5</v>
      </c>
    </row>
    <row r="388">
      <c r="A388" t="n">
        <v>24483</v>
      </c>
      <c r="B388" t="inlineStr">
        <is>
          <t>晶電三</t>
        </is>
      </c>
      <c r="C388" t="n">
        <v>119.9</v>
      </c>
      <c r="D388" t="n">
        <v>86.40000000000001</v>
      </c>
    </row>
    <row r="389">
      <c r="A389" t="n">
        <v>24501</v>
      </c>
      <c r="B389" t="inlineStr">
        <is>
          <t>神腦一</t>
        </is>
      </c>
      <c r="C389" t="n">
        <v>120</v>
      </c>
      <c r="D389" t="n">
        <v>96.84999999999999</v>
      </c>
    </row>
    <row r="390">
      <c r="A390" t="n">
        <v>24511</v>
      </c>
      <c r="B390" t="inlineStr">
        <is>
          <t>創見一</t>
        </is>
      </c>
      <c r="C390" t="n">
        <v>184</v>
      </c>
      <c r="D390" t="n">
        <v>92.09999999999999</v>
      </c>
    </row>
    <row r="391">
      <c r="A391" t="n">
        <v>24551</v>
      </c>
      <c r="B391" t="inlineStr">
        <is>
          <t>全新一</t>
        </is>
      </c>
      <c r="C391" t="n">
        <v>160</v>
      </c>
      <c r="D391" t="n">
        <v>95.09999999999999</v>
      </c>
    </row>
    <row r="392">
      <c r="A392" t="n">
        <v>24552</v>
      </c>
      <c r="B392" t="inlineStr">
        <is>
          <t>全新二</t>
        </is>
      </c>
      <c r="C392" t="n">
        <v>283</v>
      </c>
      <c r="D392" t="n">
        <v>110.2</v>
      </c>
      <c r="E392" t="inlineStr">
        <is>
          <t>H</t>
        </is>
      </c>
      <c r="F392" s="208" t="n">
        <v>0.1098039215686274</v>
      </c>
    </row>
    <row r="393">
      <c r="A393" t="n">
        <v>24553</v>
      </c>
      <c r="B393" t="inlineStr">
        <is>
          <t>全新三</t>
        </is>
      </c>
      <c r="C393" t="n">
        <v>302</v>
      </c>
      <c r="D393" t="n">
        <v>133.1</v>
      </c>
      <c r="E393" t="inlineStr">
        <is>
          <t>H</t>
        </is>
      </c>
      <c r="F393" s="208" t="n">
        <v>0.1226765799256506</v>
      </c>
    </row>
    <row r="394">
      <c r="A394" t="n">
        <v>24562</v>
      </c>
      <c r="B394" t="inlineStr">
        <is>
          <t>奇力新二</t>
        </is>
      </c>
      <c r="C394" t="n">
        <v>158</v>
      </c>
      <c r="D394" t="n">
        <v>99</v>
      </c>
    </row>
    <row r="395">
      <c r="A395" t="n">
        <v>24563</v>
      </c>
      <c r="B395" t="inlineStr">
        <is>
          <t>奇力新三</t>
        </is>
      </c>
      <c r="C395" t="n">
        <v>124.9</v>
      </c>
      <c r="D395" t="n">
        <v>81.55</v>
      </c>
    </row>
    <row r="396">
      <c r="A396" t="n">
        <v>24564</v>
      </c>
      <c r="B396" t="inlineStr">
        <is>
          <t>奇力新四</t>
        </is>
      </c>
      <c r="C396" t="n">
        <v>399</v>
      </c>
      <c r="D396" t="n">
        <v>87</v>
      </c>
    </row>
    <row r="397">
      <c r="A397" t="n">
        <v>24565</v>
      </c>
      <c r="B397" t="inlineStr">
        <is>
          <t>奇力新五</t>
        </is>
      </c>
      <c r="C397" t="n">
        <v>236</v>
      </c>
      <c r="D397" t="n">
        <v>99.8</v>
      </c>
    </row>
    <row r="398">
      <c r="A398" t="n">
        <v>24566</v>
      </c>
      <c r="B398" t="inlineStr">
        <is>
          <t>奇力新六</t>
        </is>
      </c>
      <c r="C398" t="n">
        <v>152</v>
      </c>
      <c r="D398" t="n">
        <v>103</v>
      </c>
    </row>
    <row r="399">
      <c r="A399" t="n">
        <v>24571</v>
      </c>
      <c r="B399" t="inlineStr">
        <is>
          <t>飛宏一</t>
        </is>
      </c>
      <c r="C399" t="n">
        <v>113.7</v>
      </c>
      <c r="D399" t="n">
        <v>86.09999999999999</v>
      </c>
    </row>
    <row r="400">
      <c r="A400" t="n">
        <v>24581</v>
      </c>
      <c r="B400" t="inlineStr">
        <is>
          <t>義隆一</t>
        </is>
      </c>
      <c r="C400" t="n">
        <v>156</v>
      </c>
      <c r="D400" t="n">
        <v>102</v>
      </c>
    </row>
    <row r="401">
      <c r="A401" t="n">
        <v>24591</v>
      </c>
      <c r="B401" t="inlineStr">
        <is>
          <t>敦吉一</t>
        </is>
      </c>
      <c r="C401" t="n">
        <v>205</v>
      </c>
      <c r="D401" t="n">
        <v>104.5</v>
      </c>
    </row>
    <row r="402">
      <c r="A402" t="n">
        <v>24601</v>
      </c>
      <c r="B402" t="inlineStr">
        <is>
          <t>建通一</t>
        </is>
      </c>
      <c r="C402" t="n">
        <v>158</v>
      </c>
      <c r="D402" t="n">
        <v>100</v>
      </c>
    </row>
    <row r="403">
      <c r="A403" t="n">
        <v>24611</v>
      </c>
      <c r="B403" t="inlineStr">
        <is>
          <t>光群雷一</t>
        </is>
      </c>
      <c r="C403" t="n">
        <v>131.65</v>
      </c>
      <c r="D403" t="n">
        <v>85</v>
      </c>
    </row>
    <row r="404">
      <c r="A404" t="n">
        <v>24612</v>
      </c>
      <c r="B404" t="inlineStr">
        <is>
          <t>光群雷二</t>
        </is>
      </c>
      <c r="C404" t="n">
        <v>201</v>
      </c>
      <c r="D404" t="n">
        <v>103</v>
      </c>
    </row>
    <row r="405">
      <c r="A405" t="n">
        <v>24613</v>
      </c>
      <c r="B405" t="inlineStr">
        <is>
          <t>光群雷三</t>
        </is>
      </c>
      <c r="C405" t="n">
        <v>126</v>
      </c>
      <c r="D405" t="n">
        <v>93.05</v>
      </c>
    </row>
    <row r="406">
      <c r="A406" t="n">
        <v>24614</v>
      </c>
      <c r="B406" t="inlineStr">
        <is>
          <t>光群雷四</t>
        </is>
      </c>
      <c r="C406" t="n">
        <v>128</v>
      </c>
      <c r="D406" t="n">
        <v>101</v>
      </c>
    </row>
    <row r="407">
      <c r="A407" t="n">
        <v>24615</v>
      </c>
      <c r="B407" t="inlineStr">
        <is>
          <t>光群雷五</t>
        </is>
      </c>
      <c r="C407" t="n">
        <v>128</v>
      </c>
      <c r="D407" t="n">
        <v>99.55</v>
      </c>
    </row>
    <row r="408">
      <c r="A408" t="n">
        <v>24616</v>
      </c>
      <c r="B408" t="inlineStr">
        <is>
          <t>光群雷六</t>
        </is>
      </c>
      <c r="C408" t="n">
        <v>182</v>
      </c>
      <c r="D408" t="n">
        <v>103.5</v>
      </c>
    </row>
    <row r="409">
      <c r="A409" t="n">
        <v>24621</v>
      </c>
      <c r="B409" t="inlineStr">
        <is>
          <t>良得電一</t>
        </is>
      </c>
      <c r="C409" t="n">
        <v>252</v>
      </c>
      <c r="D409" t="n">
        <v>97</v>
      </c>
    </row>
    <row r="410">
      <c r="A410" t="n">
        <v>24622</v>
      </c>
      <c r="B410" t="inlineStr">
        <is>
          <t>良得電二</t>
        </is>
      </c>
      <c r="C410" t="n">
        <v>142.3</v>
      </c>
      <c r="D410" t="n">
        <v>104.2</v>
      </c>
    </row>
    <row r="411">
      <c r="A411" t="n">
        <v>24623</v>
      </c>
      <c r="B411" t="inlineStr">
        <is>
          <t>良得電三</t>
        </is>
      </c>
      <c r="C411" t="n">
        <v>142</v>
      </c>
      <c r="D411" t="n">
        <v>101</v>
      </c>
    </row>
    <row r="412">
      <c r="A412" t="n">
        <v>24624</v>
      </c>
      <c r="B412" t="inlineStr">
        <is>
          <t>良得電四</t>
        </is>
      </c>
      <c r="C412" t="n">
        <v>135.3</v>
      </c>
      <c r="D412" t="n">
        <v>99</v>
      </c>
      <c r="F412" s="208" t="inlineStr"/>
    </row>
    <row r="413">
      <c r="A413" t="n">
        <v>24641</v>
      </c>
      <c r="B413" t="inlineStr">
        <is>
          <t>盟立一</t>
        </is>
      </c>
      <c r="C413" t="n">
        <v>203</v>
      </c>
      <c r="D413" t="n">
        <v>99</v>
      </c>
    </row>
    <row r="414">
      <c r="A414" t="n">
        <v>24642</v>
      </c>
      <c r="B414" t="inlineStr">
        <is>
          <t>盟立二</t>
        </is>
      </c>
      <c r="C414" t="n">
        <v>233</v>
      </c>
      <c r="D414" t="n">
        <v>89.7</v>
      </c>
      <c r="E414" t="inlineStr">
        <is>
          <t>H</t>
        </is>
      </c>
      <c r="F414" s="208" t="n">
        <v>0.5684954560753954</v>
      </c>
    </row>
    <row r="415">
      <c r="A415" t="n">
        <v>24661</v>
      </c>
      <c r="B415" t="inlineStr">
        <is>
          <t>冠西一</t>
        </is>
      </c>
      <c r="C415" t="n">
        <v>116.5</v>
      </c>
      <c r="D415" t="n">
        <v>93</v>
      </c>
    </row>
    <row r="416">
      <c r="A416" t="n">
        <v>24662</v>
      </c>
      <c r="B416" t="inlineStr">
        <is>
          <t>冠西電二</t>
        </is>
      </c>
      <c r="C416" t="n">
        <v>113</v>
      </c>
      <c r="D416" t="n">
        <v>99.8</v>
      </c>
    </row>
    <row r="417">
      <c r="A417" t="n">
        <v>24663</v>
      </c>
      <c r="B417" t="inlineStr">
        <is>
          <t>冠西電三</t>
        </is>
      </c>
      <c r="C417" t="n">
        <v>120</v>
      </c>
      <c r="D417" t="n">
        <v>99.75</v>
      </c>
    </row>
    <row r="418">
      <c r="A418" t="n">
        <v>24671</v>
      </c>
      <c r="B418" t="inlineStr">
        <is>
          <t>志聖一</t>
        </is>
      </c>
      <c r="C418" t="n">
        <v>220</v>
      </c>
      <c r="D418" t="n">
        <v>107</v>
      </c>
    </row>
    <row r="419">
      <c r="A419" t="n">
        <v>24672</v>
      </c>
      <c r="B419" t="inlineStr">
        <is>
          <t>志聖二</t>
        </is>
      </c>
      <c r="C419" t="n">
        <v>273</v>
      </c>
      <c r="D419" t="n">
        <v>115.5</v>
      </c>
      <c r="E419" t="inlineStr">
        <is>
          <t>H</t>
        </is>
      </c>
      <c r="F419" s="208" t="n">
        <v>0.128099173553719</v>
      </c>
    </row>
    <row r="420">
      <c r="A420" t="n">
        <v>24673</v>
      </c>
      <c r="B420" t="inlineStr">
        <is>
          <t>志聖三</t>
        </is>
      </c>
      <c r="C420" t="n">
        <v>277</v>
      </c>
      <c r="D420" t="n">
        <v>121</v>
      </c>
      <c r="E420" t="inlineStr">
        <is>
          <t>H</t>
        </is>
      </c>
      <c r="F420" s="208" t="n">
        <v>0.1352459016393443</v>
      </c>
    </row>
    <row r="421">
      <c r="A421" t="n">
        <v>24681</v>
      </c>
      <c r="B421" t="inlineStr">
        <is>
          <t>華經一</t>
        </is>
      </c>
      <c r="C421" t="n">
        <v>115.5</v>
      </c>
      <c r="D421" t="n">
        <v>115</v>
      </c>
    </row>
    <row r="422">
      <c r="A422" t="n">
        <v>24692</v>
      </c>
      <c r="B422" t="inlineStr">
        <is>
          <t>力信二</t>
        </is>
      </c>
      <c r="C422" t="n">
        <v>170</v>
      </c>
      <c r="D422" t="n">
        <v>94.34999999999999</v>
      </c>
    </row>
    <row r="423">
      <c r="A423" t="n">
        <v>24701</v>
      </c>
      <c r="B423" t="inlineStr">
        <is>
          <t>品佳一</t>
        </is>
      </c>
      <c r="C423" t="n">
        <v>122</v>
      </c>
      <c r="D423" t="n">
        <v>100.2</v>
      </c>
    </row>
    <row r="424">
      <c r="A424" t="n">
        <v>24702</v>
      </c>
      <c r="B424" t="inlineStr">
        <is>
          <t>品佳二</t>
        </is>
      </c>
      <c r="C424" t="n">
        <v>130</v>
      </c>
      <c r="D424" t="n">
        <v>94</v>
      </c>
    </row>
    <row r="425">
      <c r="A425" t="n">
        <v>24721</v>
      </c>
      <c r="B425" t="inlineStr">
        <is>
          <t>立隆電一</t>
        </is>
      </c>
      <c r="C425" t="n">
        <v>115</v>
      </c>
      <c r="D425" t="n">
        <v>98.09999999999999</v>
      </c>
    </row>
    <row r="426">
      <c r="A426" t="n">
        <v>24722</v>
      </c>
      <c r="B426" t="inlineStr">
        <is>
          <t>立隆電二</t>
        </is>
      </c>
      <c r="C426" t="n">
        <v>203</v>
      </c>
      <c r="D426" t="n">
        <v>99.5</v>
      </c>
    </row>
    <row r="427">
      <c r="A427" t="n">
        <v>24723</v>
      </c>
      <c r="B427" t="inlineStr">
        <is>
          <t>立隆電三</t>
        </is>
      </c>
      <c r="C427" t="n">
        <v>181</v>
      </c>
      <c r="D427" t="n">
        <v>104.7</v>
      </c>
    </row>
    <row r="428">
      <c r="A428" t="n">
        <v>24741</v>
      </c>
      <c r="B428" t="inlineStr">
        <is>
          <t>可成一</t>
        </is>
      </c>
      <c r="C428" t="n">
        <v>264</v>
      </c>
      <c r="D428" t="n">
        <v>97.59999999999999</v>
      </c>
    </row>
    <row r="429">
      <c r="A429" t="n">
        <v>24742</v>
      </c>
      <c r="B429" t="inlineStr">
        <is>
          <t>可成二</t>
        </is>
      </c>
      <c r="C429" t="n">
        <v>170</v>
      </c>
      <c r="D429" t="n">
        <v>100.3</v>
      </c>
    </row>
    <row r="430">
      <c r="A430" t="n">
        <v>24761</v>
      </c>
      <c r="B430" t="inlineStr">
        <is>
          <t>鉅祥一</t>
        </is>
      </c>
      <c r="C430" t="n">
        <v>120.65</v>
      </c>
      <c r="D430" t="n">
        <v>110.5</v>
      </c>
    </row>
    <row r="431">
      <c r="A431" t="n">
        <v>24762</v>
      </c>
      <c r="B431" t="inlineStr">
        <is>
          <t>鉅祥二</t>
        </is>
      </c>
      <c r="C431" t="n">
        <v>198</v>
      </c>
      <c r="D431" t="n">
        <v>103.15</v>
      </c>
      <c r="E431" t="inlineStr">
        <is>
          <t>H</t>
        </is>
      </c>
      <c r="F431" s="208" t="n">
        <v>0.03664921465968586</v>
      </c>
    </row>
    <row r="432">
      <c r="A432" t="n">
        <v>24781</v>
      </c>
      <c r="B432" t="inlineStr">
        <is>
          <t>大毅一</t>
        </is>
      </c>
      <c r="C432" t="n">
        <v>159</v>
      </c>
      <c r="D432" t="n">
        <v>95</v>
      </c>
    </row>
    <row r="433">
      <c r="A433" t="n">
        <v>24792</v>
      </c>
      <c r="B433" t="inlineStr">
        <is>
          <t>和立二</t>
        </is>
      </c>
      <c r="C433" t="n">
        <v>111.55</v>
      </c>
      <c r="D433" t="n">
        <v>88</v>
      </c>
    </row>
    <row r="434">
      <c r="A434" t="n">
        <v>24801</v>
      </c>
      <c r="B434" t="inlineStr">
        <is>
          <t>敦陽一</t>
        </is>
      </c>
      <c r="C434" t="n">
        <v>101</v>
      </c>
      <c r="D434" t="n">
        <v>98</v>
      </c>
    </row>
    <row r="435">
      <c r="A435" t="n">
        <v>24811</v>
      </c>
      <c r="B435" t="inlineStr">
        <is>
          <t>強茂一</t>
        </is>
      </c>
      <c r="C435" t="n">
        <v>131</v>
      </c>
      <c r="D435" t="n">
        <v>115</v>
      </c>
    </row>
    <row r="436">
      <c r="A436" t="n">
        <v>24812</v>
      </c>
      <c r="B436" t="inlineStr">
        <is>
          <t>強茂二</t>
        </is>
      </c>
      <c r="C436" t="n">
        <v>307</v>
      </c>
      <c r="D436" t="n">
        <v>107</v>
      </c>
    </row>
    <row r="437">
      <c r="A437" t="n">
        <v>24813</v>
      </c>
      <c r="B437" t="inlineStr">
        <is>
          <t>強茂三</t>
        </is>
      </c>
      <c r="C437" t="n">
        <v>167</v>
      </c>
      <c r="D437" t="n">
        <v>85</v>
      </c>
    </row>
    <row r="438">
      <c r="A438" t="n">
        <v>24814</v>
      </c>
      <c r="B438" t="inlineStr">
        <is>
          <t>強茂四</t>
        </is>
      </c>
      <c r="C438" t="n">
        <v>163</v>
      </c>
      <c r="D438" t="n">
        <v>79.90000000000001</v>
      </c>
    </row>
    <row r="439">
      <c r="A439" t="n">
        <v>24815</v>
      </c>
      <c r="B439" t="inlineStr">
        <is>
          <t>強茂五</t>
        </is>
      </c>
      <c r="C439" t="n">
        <v>139.5</v>
      </c>
      <c r="D439" t="n">
        <v>97</v>
      </c>
    </row>
    <row r="440">
      <c r="A440" t="n">
        <v>24816</v>
      </c>
      <c r="B440" t="inlineStr">
        <is>
          <t>強茂六</t>
        </is>
      </c>
      <c r="C440" t="n">
        <v>167</v>
      </c>
      <c r="D440" t="n">
        <v>102.05</v>
      </c>
    </row>
    <row r="441">
      <c r="A441" t="n">
        <v>24817</v>
      </c>
      <c r="B441" t="inlineStr">
        <is>
          <t>強茂七</t>
        </is>
      </c>
      <c r="C441" t="n">
        <v>153</v>
      </c>
      <c r="D441" t="n">
        <v>100</v>
      </c>
    </row>
    <row r="442">
      <c r="A442" t="n">
        <v>24821</v>
      </c>
      <c r="B442" t="inlineStr">
        <is>
          <t>連宇一</t>
        </is>
      </c>
      <c r="C442" t="n">
        <v>169</v>
      </c>
      <c r="D442" t="n">
        <v>107</v>
      </c>
    </row>
    <row r="443">
      <c r="A443" t="n">
        <v>24822</v>
      </c>
      <c r="B443" t="inlineStr">
        <is>
          <t>連宇二</t>
        </is>
      </c>
      <c r="C443" t="n">
        <v>552</v>
      </c>
      <c r="D443" t="n">
        <v>110.1</v>
      </c>
    </row>
    <row r="444">
      <c r="A444" t="n">
        <v>24841</v>
      </c>
      <c r="B444" t="inlineStr">
        <is>
          <t>希華一</t>
        </is>
      </c>
      <c r="C444" t="n">
        <v>199</v>
      </c>
      <c r="D444" t="n">
        <v>94</v>
      </c>
    </row>
    <row r="445">
      <c r="A445" t="n">
        <v>24842</v>
      </c>
      <c r="B445" t="inlineStr">
        <is>
          <t>希華二</t>
        </is>
      </c>
      <c r="C445" t="n">
        <v>171</v>
      </c>
      <c r="D445" t="n">
        <v>79</v>
      </c>
    </row>
    <row r="446">
      <c r="A446" t="n">
        <v>24843</v>
      </c>
      <c r="B446" t="inlineStr">
        <is>
          <t>希華三</t>
        </is>
      </c>
      <c r="C446" t="n">
        <v>150</v>
      </c>
      <c r="D446" t="n">
        <v>73</v>
      </c>
    </row>
    <row r="447">
      <c r="A447" t="n">
        <v>24861</v>
      </c>
      <c r="B447" t="inlineStr">
        <is>
          <t>一詮一</t>
        </is>
      </c>
      <c r="C447" t="n">
        <v>129.45</v>
      </c>
      <c r="D447" t="n">
        <v>100</v>
      </c>
    </row>
    <row r="448">
      <c r="A448" t="n">
        <v>24862</v>
      </c>
      <c r="B448" t="inlineStr">
        <is>
          <t>一詮二</t>
        </is>
      </c>
      <c r="C448" t="n">
        <v>133.05</v>
      </c>
      <c r="D448" t="n">
        <v>90</v>
      </c>
    </row>
    <row r="449">
      <c r="A449" t="n">
        <v>24863</v>
      </c>
      <c r="B449" t="inlineStr">
        <is>
          <t>一詮三</t>
        </is>
      </c>
      <c r="C449" t="n">
        <v>180</v>
      </c>
      <c r="D449" t="n">
        <v>53</v>
      </c>
    </row>
    <row r="450">
      <c r="A450" t="n">
        <v>24864</v>
      </c>
      <c r="B450" t="inlineStr">
        <is>
          <t>一詮四</t>
        </is>
      </c>
      <c r="C450" t="n">
        <v>104.8</v>
      </c>
      <c r="D450" t="n">
        <v>78.5</v>
      </c>
    </row>
    <row r="451">
      <c r="A451" t="n">
        <v>24865</v>
      </c>
      <c r="B451" t="inlineStr">
        <is>
          <t>一詮五</t>
        </is>
      </c>
      <c r="C451" t="n">
        <v>108</v>
      </c>
      <c r="D451" t="n">
        <v>92.5</v>
      </c>
    </row>
    <row r="452">
      <c r="A452" t="n">
        <v>24866</v>
      </c>
      <c r="B452" t="inlineStr">
        <is>
          <t>一詮六</t>
        </is>
      </c>
      <c r="C452" t="n">
        <v>245</v>
      </c>
      <c r="D452" t="n">
        <v>96.5</v>
      </c>
      <c r="E452" t="inlineStr">
        <is>
          <t>H</t>
        </is>
      </c>
      <c r="F452" s="208" t="n">
        <v>0.1136363636363636</v>
      </c>
    </row>
    <row r="453">
      <c r="A453" t="n">
        <v>24881</v>
      </c>
      <c r="B453" t="inlineStr">
        <is>
          <t>漢平一</t>
        </is>
      </c>
      <c r="C453" t="n">
        <v>132</v>
      </c>
      <c r="D453" t="n">
        <v>105</v>
      </c>
    </row>
    <row r="454">
      <c r="A454" t="n">
        <v>24891</v>
      </c>
      <c r="B454" t="inlineStr">
        <is>
          <t>瑞軒二</t>
        </is>
      </c>
      <c r="C454" t="n">
        <v>228</v>
      </c>
      <c r="D454" t="n">
        <v>87.45</v>
      </c>
    </row>
    <row r="455">
      <c r="A455" t="n">
        <v>24893</v>
      </c>
      <c r="B455" t="inlineStr">
        <is>
          <t>瑞軒三</t>
        </is>
      </c>
      <c r="C455" t="n">
        <v>157</v>
      </c>
      <c r="D455" t="n">
        <v>76.2</v>
      </c>
    </row>
    <row r="456">
      <c r="A456" t="n">
        <v>24894</v>
      </c>
      <c r="B456" t="inlineStr">
        <is>
          <t>瑞軒四</t>
        </is>
      </c>
      <c r="C456" t="n">
        <v>109</v>
      </c>
      <c r="D456" t="n">
        <v>98.59999999999999</v>
      </c>
    </row>
    <row r="457">
      <c r="A457" t="n">
        <v>24921</v>
      </c>
      <c r="B457" t="inlineStr">
        <is>
          <t>華新科一</t>
        </is>
      </c>
      <c r="C457" t="n">
        <v>128</v>
      </c>
      <c r="D457" t="n">
        <v>96</v>
      </c>
    </row>
    <row r="458">
      <c r="A458" t="n">
        <v>24971</v>
      </c>
      <c r="B458" t="inlineStr">
        <is>
          <t>怡利一</t>
        </is>
      </c>
      <c r="C458" t="n">
        <v>177</v>
      </c>
      <c r="D458" t="n">
        <v>100</v>
      </c>
    </row>
    <row r="459">
      <c r="A459" t="n">
        <v>24972</v>
      </c>
      <c r="B459" t="inlineStr">
        <is>
          <t>怡利電二</t>
        </is>
      </c>
      <c r="C459" t="n">
        <v>126.55</v>
      </c>
      <c r="D459" t="n">
        <v>99.15000000000001</v>
      </c>
    </row>
    <row r="460">
      <c r="A460" t="n">
        <v>24981</v>
      </c>
      <c r="B460" t="inlineStr">
        <is>
          <t>宏達電一</t>
        </is>
      </c>
      <c r="C460" t="n">
        <v>229</v>
      </c>
      <c r="D460" t="n">
        <v>152</v>
      </c>
    </row>
    <row r="461">
      <c r="A461" t="n">
        <v>24991</v>
      </c>
      <c r="B461" t="inlineStr">
        <is>
          <t>東貝一</t>
        </is>
      </c>
      <c r="C461" t="n">
        <v>190</v>
      </c>
      <c r="D461" t="n">
        <v>110</v>
      </c>
    </row>
    <row r="462">
      <c r="A462" t="n">
        <v>24992</v>
      </c>
      <c r="B462" t="inlineStr">
        <is>
          <t>東貝二</t>
        </is>
      </c>
      <c r="C462" t="n">
        <v>193</v>
      </c>
      <c r="D462" t="n">
        <v>85</v>
      </c>
    </row>
    <row r="463">
      <c r="A463" t="n">
        <v>24993</v>
      </c>
      <c r="B463" t="inlineStr">
        <is>
          <t>東貝三</t>
        </is>
      </c>
      <c r="C463" t="n">
        <v>120</v>
      </c>
      <c r="D463" t="n">
        <v>92</v>
      </c>
    </row>
    <row r="464">
      <c r="A464" t="n">
        <v>25052</v>
      </c>
      <c r="B464" t="inlineStr">
        <is>
          <t>國揚二</t>
        </is>
      </c>
      <c r="C464" t="n">
        <v>197</v>
      </c>
      <c r="D464" t="n">
        <v>107</v>
      </c>
    </row>
    <row r="465">
      <c r="A465" t="n">
        <v>25091</v>
      </c>
      <c r="B465" t="inlineStr">
        <is>
          <t>全坤一</t>
        </is>
      </c>
      <c r="C465" t="n">
        <v>236</v>
      </c>
      <c r="D465" t="n">
        <v>101.5</v>
      </c>
    </row>
    <row r="466">
      <c r="A466" t="n">
        <v>25092</v>
      </c>
      <c r="B466" t="inlineStr">
        <is>
          <t>全坤二</t>
        </is>
      </c>
      <c r="C466" t="n">
        <v>129.5</v>
      </c>
      <c r="D466" t="n">
        <v>101</v>
      </c>
    </row>
    <row r="467">
      <c r="A467" t="n">
        <v>25143</v>
      </c>
      <c r="B467" t="inlineStr">
        <is>
          <t>龍邦三</t>
        </is>
      </c>
      <c r="C467" t="n">
        <v>162</v>
      </c>
      <c r="D467" t="n">
        <v>95.25</v>
      </c>
    </row>
    <row r="468">
      <c r="A468" t="n">
        <v>25151</v>
      </c>
      <c r="B468" t="inlineStr">
        <is>
          <t>中工一</t>
        </is>
      </c>
      <c r="C468" t="n">
        <v>107.5</v>
      </c>
      <c r="D468" t="n">
        <v>100.9</v>
      </c>
    </row>
    <row r="469">
      <c r="A469" t="n">
        <v>25152</v>
      </c>
      <c r="B469" t="inlineStr">
        <is>
          <t>中工二</t>
        </is>
      </c>
      <c r="C469" t="n">
        <v>117</v>
      </c>
      <c r="D469" t="n">
        <v>94.34999999999999</v>
      </c>
    </row>
    <row r="470">
      <c r="A470" t="n">
        <v>25201</v>
      </c>
      <c r="B470" t="inlineStr">
        <is>
          <t>冠德一</t>
        </is>
      </c>
      <c r="C470" t="n">
        <v>182</v>
      </c>
      <c r="D470" t="n">
        <v>103</v>
      </c>
    </row>
    <row r="471">
      <c r="A471" t="n">
        <v>25281</v>
      </c>
      <c r="B471" t="inlineStr">
        <is>
          <t>皇普一</t>
        </is>
      </c>
      <c r="C471" t="n">
        <v>154</v>
      </c>
      <c r="D471" t="n">
        <v>100.5</v>
      </c>
    </row>
    <row r="472">
      <c r="A472" t="n">
        <v>25282</v>
      </c>
      <c r="B472" t="inlineStr">
        <is>
          <t>皇普二</t>
        </is>
      </c>
      <c r="C472" t="n">
        <v>257</v>
      </c>
      <c r="D472" t="n">
        <v>103</v>
      </c>
    </row>
    <row r="473">
      <c r="A473" t="n">
        <v>25283</v>
      </c>
      <c r="B473" t="inlineStr">
        <is>
          <t>皇普三</t>
        </is>
      </c>
      <c r="C473" t="n">
        <v>123.5</v>
      </c>
      <c r="D473" t="n">
        <v>102</v>
      </c>
      <c r="E473" t="inlineStr">
        <is>
          <t>L</t>
        </is>
      </c>
      <c r="F473" s="208" t="n">
        <v>-0.009708737864077669</v>
      </c>
    </row>
    <row r="474">
      <c r="A474" t="n">
        <v>25284</v>
      </c>
      <c r="B474" t="inlineStr">
        <is>
          <t>皇普四</t>
        </is>
      </c>
      <c r="C474" t="n">
        <v>112.15</v>
      </c>
      <c r="D474" t="n">
        <v>90</v>
      </c>
      <c r="E474" t="inlineStr">
        <is>
          <t>L</t>
        </is>
      </c>
      <c r="F474" s="208" t="n">
        <v>-0.008810572687224639</v>
      </c>
    </row>
    <row r="475">
      <c r="A475" t="n">
        <v>25301</v>
      </c>
      <c r="B475" t="inlineStr">
        <is>
          <t>大華建設一</t>
        </is>
      </c>
      <c r="C475" t="n">
        <v>107.2</v>
      </c>
      <c r="D475" t="n">
        <v>96</v>
      </c>
    </row>
    <row r="476">
      <c r="A476" t="n">
        <v>25302</v>
      </c>
      <c r="B476" t="inlineStr">
        <is>
          <t>大華建設二</t>
        </is>
      </c>
      <c r="C476" t="n">
        <v>100</v>
      </c>
      <c r="D476" t="n">
        <v>86.5</v>
      </c>
    </row>
    <row r="477">
      <c r="A477" t="n">
        <v>25303</v>
      </c>
      <c r="B477" t="inlineStr">
        <is>
          <t>華建三</t>
        </is>
      </c>
      <c r="C477" t="n">
        <v>98.90000000000001</v>
      </c>
      <c r="D477" t="n">
        <v>91</v>
      </c>
    </row>
    <row r="478">
      <c r="A478" t="n">
        <v>25304</v>
      </c>
      <c r="B478" t="inlineStr">
        <is>
          <t>華建四</t>
        </is>
      </c>
      <c r="C478" t="n">
        <v>101.5</v>
      </c>
      <c r="D478" t="n">
        <v>92.40000000000001</v>
      </c>
    </row>
    <row r="479">
      <c r="A479" t="n">
        <v>25352</v>
      </c>
      <c r="B479" t="inlineStr">
        <is>
          <t>達欣工二</t>
        </is>
      </c>
      <c r="C479" t="n">
        <v>127.95</v>
      </c>
      <c r="D479" t="n">
        <v>99.5</v>
      </c>
    </row>
    <row r="480">
      <c r="A480" t="n">
        <v>25353</v>
      </c>
      <c r="B480" t="inlineStr">
        <is>
          <t>達欣工三</t>
        </is>
      </c>
      <c r="C480" t="n">
        <v>138.8</v>
      </c>
      <c r="D480" t="n">
        <v>94.8</v>
      </c>
    </row>
    <row r="481">
      <c r="A481" t="n">
        <v>25354</v>
      </c>
      <c r="B481" t="inlineStr">
        <is>
          <t>達欣工四</t>
        </is>
      </c>
      <c r="C481" t="n">
        <v>146</v>
      </c>
      <c r="D481" t="n">
        <v>97.7</v>
      </c>
    </row>
    <row r="482">
      <c r="A482" t="n">
        <v>25355</v>
      </c>
      <c r="B482" t="inlineStr">
        <is>
          <t>達欣工五</t>
        </is>
      </c>
      <c r="C482" t="n">
        <v>220</v>
      </c>
      <c r="D482" t="n">
        <v>102.8</v>
      </c>
    </row>
    <row r="483">
      <c r="A483" t="n">
        <v>25362</v>
      </c>
      <c r="B483" t="inlineStr">
        <is>
          <t>宏普二</t>
        </is>
      </c>
      <c r="C483" t="n">
        <v>122</v>
      </c>
      <c r="D483" t="n">
        <v>99.8</v>
      </c>
    </row>
    <row r="484">
      <c r="A484" t="n">
        <v>25372</v>
      </c>
      <c r="B484" t="inlineStr">
        <is>
          <t>聯開二</t>
        </is>
      </c>
      <c r="C484" t="n">
        <v>145</v>
      </c>
      <c r="D484" t="n">
        <v>100</v>
      </c>
    </row>
    <row r="485">
      <c r="A485" t="n">
        <v>25373</v>
      </c>
      <c r="B485" t="inlineStr">
        <is>
          <t>聯開三</t>
        </is>
      </c>
      <c r="C485" t="n">
        <v>137</v>
      </c>
      <c r="D485" t="n">
        <v>100.5</v>
      </c>
    </row>
    <row r="486">
      <c r="A486" t="n">
        <v>25374</v>
      </c>
      <c r="B486" t="inlineStr">
        <is>
          <t>聯開四</t>
        </is>
      </c>
      <c r="C486" t="n">
        <v>139</v>
      </c>
      <c r="D486" t="n">
        <v>90.5</v>
      </c>
    </row>
    <row r="487">
      <c r="A487" t="n">
        <v>25375</v>
      </c>
      <c r="B487" t="inlineStr">
        <is>
          <t>聯上發五</t>
        </is>
      </c>
      <c r="C487" t="n">
        <v>102.55</v>
      </c>
      <c r="D487" t="n">
        <v>91.5</v>
      </c>
    </row>
    <row r="488">
      <c r="A488" t="n">
        <v>25382</v>
      </c>
      <c r="B488" t="inlineStr">
        <is>
          <t>基泰二</t>
        </is>
      </c>
      <c r="C488" t="n">
        <v>130.1</v>
      </c>
      <c r="D488" t="n">
        <v>104</v>
      </c>
    </row>
    <row r="489">
      <c r="A489" t="n">
        <v>25383</v>
      </c>
      <c r="B489" t="inlineStr">
        <is>
          <t>基泰三</t>
        </is>
      </c>
      <c r="C489" t="n">
        <v>116.5</v>
      </c>
      <c r="D489" t="n">
        <v>98.2</v>
      </c>
    </row>
    <row r="490">
      <c r="A490" t="n">
        <v>25391</v>
      </c>
      <c r="B490" t="inlineStr">
        <is>
          <t>櫻花建一</t>
        </is>
      </c>
      <c r="C490" t="n">
        <v>260</v>
      </c>
      <c r="D490" t="n">
        <v>102.25</v>
      </c>
    </row>
    <row r="491">
      <c r="A491" t="n">
        <v>25392</v>
      </c>
      <c r="B491" t="inlineStr">
        <is>
          <t>櫻花建二</t>
        </is>
      </c>
      <c r="C491" t="n">
        <v>161</v>
      </c>
      <c r="D491" t="n">
        <v>91.05</v>
      </c>
    </row>
    <row r="492">
      <c r="A492" t="n">
        <v>25421</v>
      </c>
      <c r="B492" t="inlineStr">
        <is>
          <t>興富發一</t>
        </is>
      </c>
      <c r="C492" t="n">
        <v>278</v>
      </c>
      <c r="D492" t="n">
        <v>104.6</v>
      </c>
    </row>
    <row r="493">
      <c r="A493" t="n">
        <v>25422</v>
      </c>
      <c r="B493" t="inlineStr">
        <is>
          <t>興富發二</t>
        </is>
      </c>
      <c r="C493" t="n">
        <v>263</v>
      </c>
      <c r="D493" t="n">
        <v>105.45</v>
      </c>
    </row>
    <row r="494">
      <c r="A494" t="n">
        <v>25423</v>
      </c>
      <c r="B494" t="inlineStr">
        <is>
          <t>興富發三</t>
        </is>
      </c>
      <c r="C494" t="n">
        <v>208</v>
      </c>
      <c r="D494" t="n">
        <v>95.7</v>
      </c>
    </row>
    <row r="495">
      <c r="A495" t="n">
        <v>25424</v>
      </c>
      <c r="B495" t="inlineStr">
        <is>
          <t>興富發四</t>
        </is>
      </c>
      <c r="C495" t="n">
        <v>415</v>
      </c>
      <c r="D495" t="n">
        <v>107</v>
      </c>
    </row>
    <row r="496">
      <c r="A496" t="n">
        <v>25425</v>
      </c>
      <c r="B496" t="inlineStr">
        <is>
          <t>興富發五</t>
        </is>
      </c>
      <c r="C496" t="n">
        <v>141</v>
      </c>
      <c r="D496" t="n">
        <v>102.1</v>
      </c>
    </row>
    <row r="497">
      <c r="A497" t="n">
        <v>25431</v>
      </c>
      <c r="B497" t="inlineStr">
        <is>
          <t>皇昌一</t>
        </is>
      </c>
      <c r="C497" t="n">
        <v>177</v>
      </c>
      <c r="D497" t="n">
        <v>84.09999999999999</v>
      </c>
    </row>
    <row r="498">
      <c r="A498" t="n">
        <v>25432</v>
      </c>
      <c r="B498" t="inlineStr">
        <is>
          <t>皇昌二</t>
        </is>
      </c>
      <c r="C498" t="n">
        <v>124</v>
      </c>
      <c r="D498" t="n">
        <v>85.7</v>
      </c>
    </row>
    <row r="499">
      <c r="A499" t="n">
        <v>25461</v>
      </c>
      <c r="B499" t="inlineStr">
        <is>
          <t>根基一</t>
        </is>
      </c>
      <c r="C499" t="n">
        <v>194</v>
      </c>
      <c r="D499" t="n">
        <v>104.5</v>
      </c>
    </row>
    <row r="500">
      <c r="A500" t="n">
        <v>25472</v>
      </c>
      <c r="B500" t="inlineStr">
        <is>
          <t>日勝二</t>
        </is>
      </c>
      <c r="C500" t="n">
        <v>175</v>
      </c>
      <c r="D500" t="n">
        <v>65.2</v>
      </c>
    </row>
    <row r="501">
      <c r="A501" t="n">
        <v>25473</v>
      </c>
      <c r="B501" t="inlineStr">
        <is>
          <t>日勝三</t>
        </is>
      </c>
      <c r="C501" t="n">
        <v>122.2</v>
      </c>
      <c r="D501" t="n">
        <v>95</v>
      </c>
    </row>
    <row r="502">
      <c r="A502" t="n">
        <v>25474</v>
      </c>
      <c r="B502" t="inlineStr">
        <is>
          <t>日勝四</t>
        </is>
      </c>
      <c r="C502" t="n">
        <v>120</v>
      </c>
      <c r="D502" t="n">
        <v>95</v>
      </c>
    </row>
    <row r="503">
      <c r="A503" t="n">
        <v>25481</v>
      </c>
      <c r="B503" t="inlineStr">
        <is>
          <t>華固一</t>
        </is>
      </c>
      <c r="C503" t="n">
        <v>181</v>
      </c>
      <c r="D503" t="n">
        <v>100</v>
      </c>
    </row>
    <row r="504">
      <c r="A504" t="n">
        <v>25482</v>
      </c>
      <c r="B504" t="inlineStr">
        <is>
          <t>華固二</t>
        </is>
      </c>
      <c r="C504" t="n">
        <v>176</v>
      </c>
      <c r="D504" t="n">
        <v>74.45</v>
      </c>
    </row>
    <row r="505">
      <c r="A505" t="n">
        <v>25483</v>
      </c>
      <c r="B505" t="inlineStr">
        <is>
          <t>華固三</t>
        </is>
      </c>
      <c r="C505" t="n">
        <v>108.95</v>
      </c>
      <c r="D505" t="n">
        <v>96</v>
      </c>
      <c r="E505" t="inlineStr">
        <is>
          <t>H</t>
        </is>
      </c>
      <c r="F505" s="208" t="n">
        <v>0.004610419548178884</v>
      </c>
    </row>
    <row r="506">
      <c r="A506" t="n">
        <v>25484</v>
      </c>
      <c r="B506" t="inlineStr">
        <is>
          <t>華固四</t>
        </is>
      </c>
      <c r="C506" t="n">
        <v>112</v>
      </c>
      <c r="D506" t="n">
        <v>98</v>
      </c>
      <c r="F506" s="208" t="inlineStr"/>
    </row>
    <row r="507">
      <c r="A507" t="n">
        <v>25961</v>
      </c>
      <c r="B507" t="inlineStr">
        <is>
          <t>綠意一</t>
        </is>
      </c>
      <c r="C507" t="n">
        <v>142</v>
      </c>
      <c r="D507" t="n">
        <v>99.5</v>
      </c>
    </row>
    <row r="508">
      <c r="A508" t="n">
        <v>25962</v>
      </c>
      <c r="B508" t="inlineStr">
        <is>
          <t>綠意二</t>
        </is>
      </c>
      <c r="C508" t="n">
        <v>148</v>
      </c>
      <c r="D508" t="n">
        <v>99.40000000000001</v>
      </c>
    </row>
    <row r="509">
      <c r="A509" t="n">
        <v>26011</v>
      </c>
      <c r="B509" t="inlineStr">
        <is>
          <t>益航一</t>
        </is>
      </c>
      <c r="C509" t="n">
        <v>108</v>
      </c>
      <c r="D509" t="n">
        <v>100.5</v>
      </c>
    </row>
    <row r="510">
      <c r="A510" t="n">
        <v>26012</v>
      </c>
      <c r="B510" t="inlineStr">
        <is>
          <t>益航二</t>
        </is>
      </c>
      <c r="C510" t="n">
        <v>105.3</v>
      </c>
      <c r="D510" t="n">
        <v>99.5</v>
      </c>
    </row>
    <row r="511">
      <c r="A511" t="n">
        <v>26031</v>
      </c>
      <c r="B511" t="inlineStr">
        <is>
          <t>長榮一</t>
        </is>
      </c>
      <c r="C511" t="n">
        <v>158</v>
      </c>
      <c r="D511" t="n">
        <v>98.5</v>
      </c>
    </row>
    <row r="512">
      <c r="A512" t="n">
        <v>26032</v>
      </c>
      <c r="B512" t="inlineStr">
        <is>
          <t>長榮二</t>
        </is>
      </c>
      <c r="C512" t="n">
        <v>188</v>
      </c>
      <c r="D512" t="n">
        <v>101</v>
      </c>
    </row>
    <row r="513">
      <c r="A513" t="n">
        <v>26033</v>
      </c>
      <c r="B513" t="inlineStr">
        <is>
          <t>長榮三</t>
        </is>
      </c>
      <c r="C513" t="n">
        <v>157</v>
      </c>
      <c r="D513" t="n">
        <v>99.90000000000001</v>
      </c>
    </row>
    <row r="514">
      <c r="A514" t="n">
        <v>26034</v>
      </c>
      <c r="B514" t="inlineStr">
        <is>
          <t>長榮四</t>
        </is>
      </c>
      <c r="C514" t="n">
        <v>233</v>
      </c>
      <c r="D514" t="n">
        <v>102.75</v>
      </c>
    </row>
    <row r="515">
      <c r="A515" t="n">
        <v>26091</v>
      </c>
      <c r="B515" t="inlineStr">
        <is>
          <t>陽明一</t>
        </is>
      </c>
      <c r="C515" t="n">
        <v>170</v>
      </c>
      <c r="D515" t="n">
        <v>96.55</v>
      </c>
    </row>
    <row r="516">
      <c r="A516" t="n">
        <v>26092</v>
      </c>
      <c r="B516" t="inlineStr">
        <is>
          <t>陽明二</t>
        </is>
      </c>
      <c r="C516" t="n">
        <v>168</v>
      </c>
      <c r="D516" t="n">
        <v>95.5</v>
      </c>
    </row>
    <row r="517">
      <c r="A517" t="n">
        <v>26093</v>
      </c>
      <c r="B517" t="inlineStr">
        <is>
          <t>陽明三</t>
        </is>
      </c>
      <c r="C517" t="n">
        <v>156</v>
      </c>
      <c r="D517" t="n">
        <v>99</v>
      </c>
    </row>
    <row r="518">
      <c r="A518" t="n">
        <v>26094</v>
      </c>
      <c r="B518" t="inlineStr">
        <is>
          <t>陽明四</t>
        </is>
      </c>
      <c r="C518" t="n">
        <v>136.9</v>
      </c>
      <c r="D518" t="n">
        <v>90</v>
      </c>
    </row>
    <row r="519">
      <c r="A519" t="n">
        <v>26095</v>
      </c>
      <c r="B519" t="inlineStr">
        <is>
          <t>陽明五</t>
        </is>
      </c>
      <c r="C519" t="n">
        <v>315</v>
      </c>
      <c r="D519" t="n">
        <v>98.75</v>
      </c>
    </row>
    <row r="520">
      <c r="A520" t="n">
        <v>26102</v>
      </c>
      <c r="B520" t="inlineStr">
        <is>
          <t>華航二</t>
        </is>
      </c>
      <c r="C520" t="n">
        <v>132</v>
      </c>
      <c r="D520" t="n">
        <v>99.5</v>
      </c>
    </row>
    <row r="521">
      <c r="A521" t="n">
        <v>26103</v>
      </c>
      <c r="B521" t="inlineStr">
        <is>
          <t>華航三</t>
        </is>
      </c>
      <c r="C521" t="n">
        <v>142.5</v>
      </c>
      <c r="D521" t="n">
        <v>93.5</v>
      </c>
    </row>
    <row r="522">
      <c r="A522" t="n">
        <v>26104</v>
      </c>
      <c r="B522" t="inlineStr">
        <is>
          <t>華航四</t>
        </is>
      </c>
      <c r="C522" t="n">
        <v>144.5</v>
      </c>
      <c r="D522" t="n">
        <v>91.5</v>
      </c>
    </row>
    <row r="523">
      <c r="A523" t="n">
        <v>26105</v>
      </c>
      <c r="B523" t="inlineStr">
        <is>
          <t>華航五</t>
        </is>
      </c>
      <c r="C523" t="n">
        <v>146.9</v>
      </c>
      <c r="D523" t="n">
        <v>98.8</v>
      </c>
    </row>
    <row r="524">
      <c r="A524" t="n">
        <v>26106</v>
      </c>
      <c r="B524" t="inlineStr">
        <is>
          <t>華航六</t>
        </is>
      </c>
      <c r="C524" t="n">
        <v>250</v>
      </c>
      <c r="D524" t="n">
        <v>92.09999999999999</v>
      </c>
    </row>
    <row r="525">
      <c r="A525" t="n">
        <v>26107</v>
      </c>
      <c r="B525" t="inlineStr">
        <is>
          <t>華航七</t>
        </is>
      </c>
      <c r="C525" t="n">
        <v>167</v>
      </c>
      <c r="D525" t="n">
        <v>104</v>
      </c>
    </row>
    <row r="526">
      <c r="A526" t="n">
        <v>26131</v>
      </c>
      <c r="B526" t="inlineStr">
        <is>
          <t>中櫃一</t>
        </is>
      </c>
      <c r="C526" t="n">
        <v>110</v>
      </c>
      <c r="D526" t="n">
        <v>100.9</v>
      </c>
    </row>
    <row r="527">
      <c r="A527" t="n">
        <v>26132</v>
      </c>
      <c r="B527" t="inlineStr">
        <is>
          <t>中櫃二</t>
        </is>
      </c>
      <c r="C527" t="n">
        <v>109.5</v>
      </c>
      <c r="D527" t="n">
        <v>99</v>
      </c>
    </row>
    <row r="528">
      <c r="A528" t="n">
        <v>26143</v>
      </c>
      <c r="B528" t="inlineStr">
        <is>
          <t>東森三</t>
        </is>
      </c>
      <c r="C528" t="n">
        <v>131.75</v>
      </c>
      <c r="D528" t="n">
        <v>86.5</v>
      </c>
    </row>
    <row r="529">
      <c r="A529" t="n">
        <v>26144</v>
      </c>
      <c r="B529" t="inlineStr">
        <is>
          <t>東森四</t>
        </is>
      </c>
      <c r="C529" t="n">
        <v>144.25</v>
      </c>
      <c r="D529" t="n">
        <v>82</v>
      </c>
    </row>
    <row r="530">
      <c r="A530" t="n">
        <v>26161</v>
      </c>
      <c r="B530" t="inlineStr">
        <is>
          <t>山隆一</t>
        </is>
      </c>
      <c r="C530" t="n">
        <v>165</v>
      </c>
      <c r="D530" t="n">
        <v>96.15000000000001</v>
      </c>
    </row>
    <row r="531">
      <c r="A531" t="n">
        <v>26162</v>
      </c>
      <c r="B531" t="inlineStr">
        <is>
          <t>山隆二</t>
        </is>
      </c>
      <c r="C531" t="n">
        <v>162</v>
      </c>
      <c r="D531" t="n">
        <v>91</v>
      </c>
    </row>
    <row r="532">
      <c r="A532" t="n">
        <v>26163</v>
      </c>
      <c r="B532" t="inlineStr">
        <is>
          <t>山隆三</t>
        </is>
      </c>
      <c r="C532" t="n">
        <v>171</v>
      </c>
      <c r="D532" t="n">
        <v>99.65000000000001</v>
      </c>
    </row>
    <row r="533">
      <c r="A533" t="n">
        <v>26181</v>
      </c>
      <c r="B533" t="inlineStr">
        <is>
          <t>長榮航一</t>
        </is>
      </c>
      <c r="C533" t="n">
        <v>206</v>
      </c>
      <c r="D533" t="n">
        <v>104.6</v>
      </c>
    </row>
    <row r="534">
      <c r="A534" t="n">
        <v>26182</v>
      </c>
      <c r="B534" t="inlineStr">
        <is>
          <t xml:space="preserve">長榮航二    </t>
        </is>
      </c>
      <c r="C534" t="n">
        <v>153</v>
      </c>
      <c r="D534" t="n">
        <v>90.5</v>
      </c>
    </row>
    <row r="535">
      <c r="A535" t="n">
        <v>26183</v>
      </c>
      <c r="B535" t="inlineStr">
        <is>
          <t>長榮航三</t>
        </is>
      </c>
      <c r="C535" t="n">
        <v>174</v>
      </c>
      <c r="D535" t="n">
        <v>93.34999999999999</v>
      </c>
    </row>
    <row r="536">
      <c r="A536" t="n">
        <v>26184</v>
      </c>
      <c r="B536" t="inlineStr">
        <is>
          <t>長榮航四</t>
        </is>
      </c>
      <c r="C536" t="n">
        <v>209</v>
      </c>
      <c r="D536" t="n">
        <v>101.05</v>
      </c>
    </row>
    <row r="537">
      <c r="A537" t="n">
        <v>26185</v>
      </c>
      <c r="B537" t="inlineStr">
        <is>
          <t>長榮航五</t>
        </is>
      </c>
      <c r="C537" t="n">
        <v>221</v>
      </c>
      <c r="D537" t="n">
        <v>109.2</v>
      </c>
    </row>
    <row r="538">
      <c r="A538" t="n">
        <v>26301</v>
      </c>
      <c r="B538" t="inlineStr">
        <is>
          <t>亞航一</t>
        </is>
      </c>
      <c r="C538" t="n">
        <v>129</v>
      </c>
      <c r="D538" t="n">
        <v>97.5</v>
      </c>
    </row>
    <row r="539">
      <c r="A539" t="n">
        <v>26302</v>
      </c>
      <c r="B539" t="inlineStr">
        <is>
          <t>亞航二</t>
        </is>
      </c>
      <c r="C539" t="n">
        <v>390</v>
      </c>
      <c r="D539" t="n">
        <v>97</v>
      </c>
    </row>
    <row r="540">
      <c r="A540" t="n">
        <v>26361</v>
      </c>
      <c r="B540" t="inlineStr">
        <is>
          <t>台驊投一</t>
        </is>
      </c>
      <c r="C540" t="n">
        <v>177</v>
      </c>
      <c r="D540" t="n">
        <v>97</v>
      </c>
    </row>
    <row r="541">
      <c r="A541" t="n">
        <v>26362</v>
      </c>
      <c r="B541" t="inlineStr">
        <is>
          <t>台驊投二</t>
        </is>
      </c>
      <c r="C541" t="n">
        <v>159</v>
      </c>
      <c r="D541" t="n">
        <v>99.7</v>
      </c>
    </row>
    <row r="542">
      <c r="A542" t="n">
        <v>26363</v>
      </c>
      <c r="B542" t="inlineStr">
        <is>
          <t>台驊投控三</t>
        </is>
      </c>
      <c r="C542" t="n">
        <v>115</v>
      </c>
      <c r="D542" t="n">
        <v>99.59999999999999</v>
      </c>
    </row>
    <row r="543">
      <c r="A543" t="n">
        <v>26364</v>
      </c>
      <c r="B543" t="inlineStr">
        <is>
          <t>台驊投控四</t>
        </is>
      </c>
      <c r="C543" t="n">
        <v>750</v>
      </c>
      <c r="D543" t="n">
        <v>106.2</v>
      </c>
    </row>
    <row r="544">
      <c r="A544" t="n">
        <v>26371</v>
      </c>
      <c r="B544" t="inlineStr">
        <is>
          <t>慧洋一KY</t>
        </is>
      </c>
      <c r="C544" t="n">
        <v>125.8</v>
      </c>
      <c r="D544" t="n">
        <v>94</v>
      </c>
    </row>
    <row r="545">
      <c r="A545" t="n">
        <v>26372</v>
      </c>
      <c r="B545" t="inlineStr">
        <is>
          <t>慧洋二KY</t>
        </is>
      </c>
      <c r="C545" t="n">
        <v>123</v>
      </c>
      <c r="D545" t="n">
        <v>99.34999999999999</v>
      </c>
    </row>
    <row r="546">
      <c r="A546" t="n">
        <v>26373</v>
      </c>
      <c r="B546" t="inlineStr">
        <is>
          <t>慧洋三KY</t>
        </is>
      </c>
      <c r="C546" t="n">
        <v>124.6</v>
      </c>
      <c r="D546" t="n">
        <v>95.2</v>
      </c>
    </row>
    <row r="547">
      <c r="A547" t="n">
        <v>26401</v>
      </c>
      <c r="B547" t="inlineStr">
        <is>
          <t>大車隊一</t>
        </is>
      </c>
      <c r="C547" t="n">
        <v>121</v>
      </c>
      <c r="D547" t="n">
        <v>99.5</v>
      </c>
    </row>
    <row r="548">
      <c r="A548" t="n">
        <v>26411</v>
      </c>
      <c r="B548" t="inlineStr">
        <is>
          <t>正德一</t>
        </is>
      </c>
      <c r="C548" t="n">
        <v>122</v>
      </c>
      <c r="D548" t="n">
        <v>100</v>
      </c>
    </row>
    <row r="549">
      <c r="A549" t="n">
        <v>26412</v>
      </c>
      <c r="B549" t="inlineStr">
        <is>
          <t>正德二</t>
        </is>
      </c>
      <c r="C549" t="n">
        <v>121.25</v>
      </c>
      <c r="D549" t="n">
        <v>98.05</v>
      </c>
    </row>
    <row r="550">
      <c r="A550" t="n">
        <v>26413</v>
      </c>
      <c r="B550" t="inlineStr">
        <is>
          <t>正德三</t>
        </is>
      </c>
      <c r="C550" t="n">
        <v>110</v>
      </c>
      <c r="D550" t="n">
        <v>100.65</v>
      </c>
    </row>
    <row r="551">
      <c r="A551" t="n">
        <v>26414</v>
      </c>
      <c r="B551" t="inlineStr">
        <is>
          <t>正德四</t>
        </is>
      </c>
      <c r="C551" t="n">
        <v>104</v>
      </c>
      <c r="D551" t="n">
        <v>93.65000000000001</v>
      </c>
    </row>
    <row r="552">
      <c r="A552" t="n">
        <v>26415</v>
      </c>
      <c r="B552" t="inlineStr">
        <is>
          <t>正德五</t>
        </is>
      </c>
      <c r="C552" t="n">
        <v>139.9</v>
      </c>
      <c r="D552" t="n">
        <v>90.34999999999999</v>
      </c>
    </row>
    <row r="553">
      <c r="A553" t="n">
        <v>26416</v>
      </c>
      <c r="B553" t="inlineStr">
        <is>
          <t>正德六</t>
        </is>
      </c>
      <c r="C553" t="n">
        <v>150</v>
      </c>
      <c r="D553" t="n">
        <v>100.7</v>
      </c>
    </row>
    <row r="554">
      <c r="A554" t="n">
        <v>26417</v>
      </c>
      <c r="B554" t="inlineStr">
        <is>
          <t>正德七</t>
        </is>
      </c>
      <c r="C554" t="n">
        <v>115.45</v>
      </c>
      <c r="D554" t="n">
        <v>97</v>
      </c>
      <c r="E554" t="inlineStr">
        <is>
          <t>L</t>
        </is>
      </c>
      <c r="F554" s="208" t="n">
        <v>-0.002057613168724309</v>
      </c>
    </row>
    <row r="555">
      <c r="A555" t="n">
        <v>26418</v>
      </c>
      <c r="B555" t="inlineStr">
        <is>
          <t>正德八</t>
        </is>
      </c>
      <c r="C555" t="n">
        <v>119.5</v>
      </c>
      <c r="D555" t="n">
        <v>98.05</v>
      </c>
      <c r="E555" t="inlineStr">
        <is>
          <t>L</t>
        </is>
      </c>
      <c r="F555" s="208" t="n">
        <v>-0.01950000000000003</v>
      </c>
    </row>
    <row r="556">
      <c r="A556" t="n">
        <v>27041</v>
      </c>
      <c r="B556" t="inlineStr">
        <is>
          <t>國賓一</t>
        </is>
      </c>
      <c r="C556" t="n">
        <v>129</v>
      </c>
      <c r="D556" t="n">
        <v>82</v>
      </c>
    </row>
    <row r="557">
      <c r="A557" t="n">
        <v>27051</v>
      </c>
      <c r="B557" t="inlineStr">
        <is>
          <t>六福一</t>
        </is>
      </c>
      <c r="C557" t="n">
        <v>173</v>
      </c>
      <c r="D557" t="n">
        <v>92</v>
      </c>
    </row>
    <row r="558">
      <c r="A558" t="n">
        <v>27071</v>
      </c>
      <c r="B558" t="inlineStr">
        <is>
          <t>晶華一</t>
        </is>
      </c>
      <c r="C558" t="n">
        <v>106.95</v>
      </c>
      <c r="D558" t="n">
        <v>97</v>
      </c>
    </row>
    <row r="559">
      <c r="A559" t="n">
        <v>27072</v>
      </c>
      <c r="B559" t="inlineStr">
        <is>
          <t>晶華二</t>
        </is>
      </c>
      <c r="C559" t="n">
        <v>111.5</v>
      </c>
      <c r="D559" t="n">
        <v>95.40000000000001</v>
      </c>
    </row>
    <row r="560">
      <c r="A560" t="n">
        <v>27241</v>
      </c>
      <c r="B560" t="inlineStr">
        <is>
          <t>富驛一</t>
        </is>
      </c>
      <c r="C560" t="n">
        <v>101.8</v>
      </c>
      <c r="D560" t="n">
        <v>93.90000000000001</v>
      </c>
    </row>
    <row r="561">
      <c r="A561" t="n">
        <v>27261</v>
      </c>
      <c r="B561" t="inlineStr">
        <is>
          <t>雅茗一KY</t>
        </is>
      </c>
      <c r="C561" t="n">
        <v>250</v>
      </c>
      <c r="D561" t="n">
        <v>110</v>
      </c>
    </row>
    <row r="562">
      <c r="A562" t="n">
        <v>27271</v>
      </c>
      <c r="B562" t="inlineStr">
        <is>
          <t>王品一</t>
        </is>
      </c>
      <c r="C562" t="n">
        <v>127.5</v>
      </c>
      <c r="D562" t="n">
        <v>101.75</v>
      </c>
    </row>
    <row r="563">
      <c r="A563" t="n">
        <v>27291</v>
      </c>
      <c r="B563" t="inlineStr">
        <is>
          <t>瓦城一</t>
        </is>
      </c>
      <c r="C563" t="n">
        <v>112</v>
      </c>
      <c r="D563" t="n">
        <v>93</v>
      </c>
    </row>
    <row r="564">
      <c r="A564" t="n">
        <v>27311</v>
      </c>
      <c r="B564" t="inlineStr">
        <is>
          <t>雄獅一</t>
        </is>
      </c>
      <c r="C564" t="n">
        <v>225</v>
      </c>
      <c r="D564" t="n">
        <v>92</v>
      </c>
    </row>
    <row r="565">
      <c r="A565" t="n">
        <v>27312</v>
      </c>
      <c r="B565" t="inlineStr">
        <is>
          <t>雄獅二</t>
        </is>
      </c>
      <c r="C565" t="n">
        <v>218</v>
      </c>
      <c r="D565" t="n">
        <v>96.8</v>
      </c>
    </row>
    <row r="566">
      <c r="A566" t="n">
        <v>27321</v>
      </c>
      <c r="B566" t="inlineStr">
        <is>
          <t>六角一</t>
        </is>
      </c>
      <c r="C566" t="n">
        <v>197</v>
      </c>
      <c r="D566" t="n">
        <v>110</v>
      </c>
    </row>
    <row r="567">
      <c r="A567" t="n">
        <v>27322</v>
      </c>
      <c r="B567" t="inlineStr">
        <is>
          <t>六角二</t>
        </is>
      </c>
      <c r="C567" t="n">
        <v>258</v>
      </c>
      <c r="D567" t="n">
        <v>110.55</v>
      </c>
    </row>
    <row r="568">
      <c r="A568" t="n">
        <v>27323</v>
      </c>
      <c r="B568" t="inlineStr">
        <is>
          <t>六角三</t>
        </is>
      </c>
      <c r="C568" t="n">
        <v>133</v>
      </c>
      <c r="D568" t="n">
        <v>99.55</v>
      </c>
    </row>
    <row r="569">
      <c r="A569" t="n">
        <v>27324</v>
      </c>
      <c r="B569" t="inlineStr">
        <is>
          <t>六角四</t>
        </is>
      </c>
      <c r="C569" t="n">
        <v>110</v>
      </c>
      <c r="D569" t="n">
        <v>100</v>
      </c>
      <c r="E569" t="inlineStr">
        <is>
          <t>L</t>
        </is>
      </c>
      <c r="F569" s="208" t="n">
        <v>-0.03006789524733263</v>
      </c>
    </row>
    <row r="570">
      <c r="A570" t="n">
        <v>27341</v>
      </c>
      <c r="B570" t="inlineStr">
        <is>
          <t>易飛網一</t>
        </is>
      </c>
      <c r="C570" t="n">
        <v>112</v>
      </c>
      <c r="D570" t="n">
        <v>100.75</v>
      </c>
    </row>
    <row r="571">
      <c r="A571" t="n">
        <v>27431</v>
      </c>
      <c r="B571" t="inlineStr">
        <is>
          <t>山富一</t>
        </is>
      </c>
      <c r="C571" t="n">
        <v>109.95</v>
      </c>
      <c r="D571" t="n">
        <v>100.15</v>
      </c>
      <c r="E571" t="inlineStr">
        <is>
          <t>L</t>
        </is>
      </c>
      <c r="F571" s="208" t="n">
        <v>-0.008906481939633761</v>
      </c>
    </row>
    <row r="572">
      <c r="A572" t="n">
        <v>27451</v>
      </c>
      <c r="B572" t="inlineStr">
        <is>
          <t>五福一</t>
        </is>
      </c>
      <c r="C572" t="n">
        <v>114.9</v>
      </c>
      <c r="D572" t="n">
        <v>105.5</v>
      </c>
    </row>
    <row r="573">
      <c r="A573" t="n">
        <v>27481</v>
      </c>
      <c r="B573" t="inlineStr">
        <is>
          <t>雲品一</t>
        </is>
      </c>
      <c r="C573" t="n">
        <v>217</v>
      </c>
      <c r="D573" t="n">
        <v>97</v>
      </c>
    </row>
    <row r="574">
      <c r="A574" t="n">
        <v>27531</v>
      </c>
      <c r="B574" t="inlineStr">
        <is>
          <t>八方雲集一</t>
        </is>
      </c>
      <c r="C574" t="n">
        <v>117</v>
      </c>
      <c r="D574" t="n">
        <v>105.1</v>
      </c>
      <c r="E574" t="inlineStr">
        <is>
          <t>L</t>
        </is>
      </c>
      <c r="F574" s="208" t="n">
        <v>-0.00379146919431285</v>
      </c>
    </row>
    <row r="575">
      <c r="A575" t="n">
        <v>27532</v>
      </c>
      <c r="B575" t="inlineStr">
        <is>
          <t>八方雲集二</t>
        </is>
      </c>
      <c r="C575" t="n">
        <v>116.5</v>
      </c>
      <c r="D575" t="n">
        <v>105.5</v>
      </c>
      <c r="E575" t="inlineStr">
        <is>
          <t>L</t>
        </is>
      </c>
      <c r="F575" s="208" t="n">
        <v>-0.009389671361502348</v>
      </c>
    </row>
    <row r="576">
      <c r="A576" t="n">
        <v>27551</v>
      </c>
      <c r="B576" t="inlineStr">
        <is>
          <t>揚秦一</t>
        </is>
      </c>
      <c r="C576" t="n">
        <v>171</v>
      </c>
      <c r="D576" t="n">
        <v>100.3</v>
      </c>
    </row>
    <row r="577">
      <c r="A577" t="n">
        <v>27561</v>
      </c>
      <c r="B577" t="inlineStr">
        <is>
          <t>聯發國際一</t>
        </is>
      </c>
      <c r="C577" t="n">
        <v>139.95</v>
      </c>
      <c r="D577" t="n">
        <v>100.5</v>
      </c>
    </row>
    <row r="578">
      <c r="A578" t="n">
        <v>28121</v>
      </c>
      <c r="B578" t="inlineStr">
        <is>
          <t>台中一</t>
        </is>
      </c>
      <c r="C578" t="n">
        <v>113.5</v>
      </c>
      <c r="D578" t="n">
        <v>99.7</v>
      </c>
    </row>
    <row r="579">
      <c r="A579" t="n">
        <v>28381</v>
      </c>
      <c r="B579" t="inlineStr">
        <is>
          <t xml:space="preserve">聯邦一    </t>
        </is>
      </c>
      <c r="C579" t="n">
        <v>122.5</v>
      </c>
      <c r="D579" t="n">
        <v>93</v>
      </c>
    </row>
    <row r="580">
      <c r="A580" t="n">
        <v>28411</v>
      </c>
      <c r="B580" t="inlineStr">
        <is>
          <t>台開一</t>
        </is>
      </c>
      <c r="C580" t="n">
        <v>119</v>
      </c>
      <c r="D580" t="n">
        <v>100.6</v>
      </c>
    </row>
    <row r="581">
      <c r="A581" t="n">
        <v>28471</v>
      </c>
      <c r="B581" t="inlineStr">
        <is>
          <t xml:space="preserve">大眾一    </t>
        </is>
      </c>
      <c r="C581" t="n">
        <v>147</v>
      </c>
      <c r="D581" t="n">
        <v>96</v>
      </c>
    </row>
    <row r="582">
      <c r="A582" t="n">
        <v>28541</v>
      </c>
      <c r="B582" t="inlineStr">
        <is>
          <t xml:space="preserve">寶來一    </t>
        </is>
      </c>
      <c r="C582" t="n">
        <v>166</v>
      </c>
      <c r="D582" t="n">
        <v>101.5</v>
      </c>
    </row>
    <row r="583">
      <c r="A583" t="n">
        <v>28551</v>
      </c>
      <c r="B583" t="inlineStr">
        <is>
          <t>統證一</t>
        </is>
      </c>
      <c r="C583" t="n">
        <v>109</v>
      </c>
      <c r="D583" t="n">
        <v>83.09999999999999</v>
      </c>
    </row>
    <row r="584">
      <c r="A584" t="n">
        <v>28561</v>
      </c>
      <c r="B584" t="inlineStr">
        <is>
          <t>元富一</t>
        </is>
      </c>
      <c r="C584" t="n">
        <v>130</v>
      </c>
      <c r="D584" t="n">
        <v>82.5</v>
      </c>
    </row>
    <row r="585">
      <c r="A585" t="n">
        <v>28851</v>
      </c>
      <c r="B585" t="inlineStr">
        <is>
          <t>元金一</t>
        </is>
      </c>
      <c r="C585" t="n">
        <v>121.4</v>
      </c>
      <c r="D585" t="n">
        <v>99.55</v>
      </c>
    </row>
    <row r="586">
      <c r="A586" t="n">
        <v>28871</v>
      </c>
      <c r="B586" t="inlineStr">
        <is>
          <t>台新一</t>
        </is>
      </c>
      <c r="C586" t="n">
        <v>215</v>
      </c>
      <c r="D586" t="n">
        <v>118</v>
      </c>
    </row>
    <row r="587">
      <c r="A587" t="n">
        <v>28881</v>
      </c>
      <c r="B587" t="inlineStr">
        <is>
          <t>新金1A</t>
        </is>
      </c>
      <c r="C587" t="n">
        <v>157</v>
      </c>
      <c r="D587" t="n">
        <v>107</v>
      </c>
    </row>
    <row r="588">
      <c r="A588" t="n">
        <v>28882</v>
      </c>
      <c r="B588" t="inlineStr">
        <is>
          <t>新金1B</t>
        </is>
      </c>
      <c r="C588" t="n">
        <v>161</v>
      </c>
      <c r="D588" t="n">
        <v>107</v>
      </c>
    </row>
    <row r="589">
      <c r="A589" t="n">
        <v>28883</v>
      </c>
      <c r="B589" t="inlineStr">
        <is>
          <t>新光金二</t>
        </is>
      </c>
      <c r="C589" t="n">
        <v>109.45</v>
      </c>
      <c r="D589" t="n">
        <v>98.3</v>
      </c>
    </row>
    <row r="590">
      <c r="A590" t="n">
        <v>28884</v>
      </c>
      <c r="B590" t="inlineStr">
        <is>
          <t>新光金三</t>
        </is>
      </c>
      <c r="C590" t="n">
        <v>138.2</v>
      </c>
      <c r="D590" t="n">
        <v>97.59999999999999</v>
      </c>
    </row>
    <row r="591">
      <c r="A591" t="n">
        <v>28885</v>
      </c>
      <c r="B591" t="inlineStr">
        <is>
          <t>新光金四</t>
        </is>
      </c>
      <c r="C591" t="n">
        <v>152</v>
      </c>
      <c r="D591" t="n">
        <v>99.8</v>
      </c>
    </row>
    <row r="592">
      <c r="A592" t="n">
        <v>28886</v>
      </c>
      <c r="B592" t="inlineStr">
        <is>
          <t>新光金五</t>
        </is>
      </c>
      <c r="C592" t="n">
        <v>125.15</v>
      </c>
      <c r="D592" t="n">
        <v>99.75</v>
      </c>
    </row>
    <row r="593">
      <c r="A593" t="n">
        <v>28887</v>
      </c>
      <c r="B593" t="inlineStr">
        <is>
          <t>新光金六</t>
        </is>
      </c>
      <c r="C593" t="n">
        <v>150</v>
      </c>
      <c r="D593" t="n">
        <v>98.15000000000001</v>
      </c>
    </row>
    <row r="594">
      <c r="A594" t="n">
        <v>29031</v>
      </c>
      <c r="B594" t="inlineStr">
        <is>
          <t>遠百一</t>
        </is>
      </c>
      <c r="C594" t="n">
        <v>114</v>
      </c>
      <c r="D594" t="n">
        <v>96.5</v>
      </c>
    </row>
    <row r="595">
      <c r="A595" t="n">
        <v>29051</v>
      </c>
      <c r="B595" t="inlineStr">
        <is>
          <t>三商一</t>
        </is>
      </c>
      <c r="C595" t="n">
        <v>119.3</v>
      </c>
      <c r="D595" t="n">
        <v>96.5</v>
      </c>
    </row>
    <row r="596">
      <c r="A596" t="n">
        <v>29061</v>
      </c>
      <c r="B596" t="inlineStr">
        <is>
          <t>高林一</t>
        </is>
      </c>
      <c r="C596" t="n">
        <v>135</v>
      </c>
      <c r="D596" t="n">
        <v>97.65000000000001</v>
      </c>
    </row>
    <row r="597">
      <c r="A597" t="n">
        <v>29081</v>
      </c>
      <c r="B597" t="inlineStr">
        <is>
          <t xml:space="preserve">特力二    </t>
        </is>
      </c>
      <c r="C597" t="n">
        <v>239</v>
      </c>
      <c r="D597" t="n">
        <v>187</v>
      </c>
    </row>
    <row r="598">
      <c r="A598" t="n">
        <v>29082</v>
      </c>
      <c r="B598" t="inlineStr">
        <is>
          <t>特力二</t>
        </is>
      </c>
      <c r="C598" t="n">
        <v>222</v>
      </c>
      <c r="D598" t="n">
        <v>107</v>
      </c>
    </row>
    <row r="599">
      <c r="A599" t="n">
        <v>29111</v>
      </c>
      <c r="B599" t="inlineStr">
        <is>
          <t>麗嬰一</t>
        </is>
      </c>
      <c r="C599" t="n">
        <v>111</v>
      </c>
      <c r="D599" t="n">
        <v>94.2</v>
      </c>
    </row>
    <row r="600">
      <c r="A600" t="n">
        <v>29131</v>
      </c>
      <c r="B600" t="inlineStr">
        <is>
          <t>農林一</t>
        </is>
      </c>
      <c r="C600" t="n">
        <v>167</v>
      </c>
      <c r="D600" t="n">
        <v>99.5</v>
      </c>
    </row>
    <row r="601">
      <c r="A601" t="n">
        <v>29132</v>
      </c>
      <c r="B601" t="inlineStr">
        <is>
          <t>農林二</t>
        </is>
      </c>
      <c r="C601" t="n">
        <v>165</v>
      </c>
      <c r="D601" t="n">
        <v>91.15000000000001</v>
      </c>
    </row>
    <row r="602">
      <c r="A602" t="n">
        <v>29151</v>
      </c>
      <c r="B602" t="inlineStr">
        <is>
          <t>潤全一</t>
        </is>
      </c>
      <c r="C602" t="n">
        <v>113</v>
      </c>
      <c r="D602" t="n">
        <v>96.09999999999999</v>
      </c>
    </row>
    <row r="603">
      <c r="A603" t="n">
        <v>29241</v>
      </c>
      <c r="B603" t="inlineStr">
        <is>
          <t>東凌一</t>
        </is>
      </c>
      <c r="C603" t="n">
        <v>137</v>
      </c>
      <c r="D603" t="n">
        <v>97.40000000000001</v>
      </c>
    </row>
    <row r="604">
      <c r="A604" t="n">
        <v>29242</v>
      </c>
      <c r="B604" t="inlineStr">
        <is>
          <t>東凌二KY</t>
        </is>
      </c>
      <c r="C604" t="n">
        <v>105.8</v>
      </c>
      <c r="D604" t="n">
        <v>99.5</v>
      </c>
    </row>
    <row r="605">
      <c r="A605" t="n">
        <v>29243</v>
      </c>
      <c r="B605" t="inlineStr">
        <is>
          <t>東凌三KY</t>
        </is>
      </c>
      <c r="C605" t="n">
        <v>113.3</v>
      </c>
      <c r="D605" t="n">
        <v>95</v>
      </c>
    </row>
    <row r="606">
      <c r="A606" t="n">
        <v>29371</v>
      </c>
      <c r="B606" t="inlineStr">
        <is>
          <t>集雅社一</t>
        </is>
      </c>
      <c r="C606" t="n">
        <v>121.25</v>
      </c>
      <c r="D606" t="n">
        <v>99</v>
      </c>
    </row>
    <row r="607">
      <c r="A607" t="n">
        <v>30031</v>
      </c>
      <c r="B607" t="inlineStr">
        <is>
          <t>健和興一</t>
        </is>
      </c>
      <c r="C607" t="n">
        <v>218</v>
      </c>
      <c r="D607" t="n">
        <v>98.8</v>
      </c>
    </row>
    <row r="608">
      <c r="A608" t="n">
        <v>30032</v>
      </c>
      <c r="B608" t="inlineStr">
        <is>
          <t>健和興二</t>
        </is>
      </c>
      <c r="C608" t="n">
        <v>204</v>
      </c>
      <c r="D608" t="n">
        <v>97.5</v>
      </c>
    </row>
    <row r="609">
      <c r="A609" t="n">
        <v>30051</v>
      </c>
      <c r="B609" t="inlineStr">
        <is>
          <t>神基一</t>
        </is>
      </c>
      <c r="C609" t="n">
        <v>152</v>
      </c>
      <c r="D609" t="n">
        <v>95</v>
      </c>
    </row>
    <row r="610">
      <c r="A610" t="n">
        <v>30052</v>
      </c>
      <c r="B610" t="inlineStr">
        <is>
          <t>神基二</t>
        </is>
      </c>
      <c r="C610" t="n">
        <v>199</v>
      </c>
      <c r="D610" t="n">
        <v>95</v>
      </c>
    </row>
    <row r="611">
      <c r="A611" t="n">
        <v>30061</v>
      </c>
      <c r="B611" t="inlineStr">
        <is>
          <t>晶豪科一</t>
        </is>
      </c>
      <c r="C611" t="n">
        <v>264</v>
      </c>
      <c r="D611" t="n">
        <v>95.40000000000001</v>
      </c>
    </row>
    <row r="612">
      <c r="A612" t="n">
        <v>30101</v>
      </c>
      <c r="B612" t="inlineStr">
        <is>
          <t>華立一</t>
        </is>
      </c>
      <c r="C612" t="n">
        <v>191</v>
      </c>
      <c r="D612" t="n">
        <v>119</v>
      </c>
    </row>
    <row r="613">
      <c r="A613" t="n">
        <v>30102</v>
      </c>
      <c r="B613" t="inlineStr">
        <is>
          <t>華立二</t>
        </is>
      </c>
      <c r="C613" t="n">
        <v>105</v>
      </c>
      <c r="D613" t="n">
        <v>97</v>
      </c>
    </row>
    <row r="614">
      <c r="A614" t="n">
        <v>30103</v>
      </c>
      <c r="B614" t="inlineStr">
        <is>
          <t>華立三</t>
        </is>
      </c>
      <c r="C614" t="n">
        <v>168</v>
      </c>
      <c r="D614" t="n">
        <v>102</v>
      </c>
    </row>
    <row r="615">
      <c r="A615" t="n">
        <v>30111</v>
      </c>
      <c r="B615" t="inlineStr">
        <is>
          <t>今皓一</t>
        </is>
      </c>
      <c r="C615" t="n">
        <v>135</v>
      </c>
      <c r="D615" t="n">
        <v>94.40000000000001</v>
      </c>
    </row>
    <row r="616">
      <c r="A616" t="n">
        <v>30112</v>
      </c>
      <c r="B616" t="inlineStr">
        <is>
          <t>今皓二</t>
        </is>
      </c>
      <c r="C616" t="n">
        <v>129.4</v>
      </c>
      <c r="D616" t="n">
        <v>106.95</v>
      </c>
      <c r="F616" s="208" t="inlineStr"/>
    </row>
    <row r="617">
      <c r="A617" t="n">
        <v>30121</v>
      </c>
      <c r="B617" t="inlineStr">
        <is>
          <t>廣輝一</t>
        </is>
      </c>
      <c r="C617" t="n">
        <v>115</v>
      </c>
      <c r="D617" t="n">
        <v>79.95</v>
      </c>
    </row>
    <row r="618">
      <c r="A618" t="n">
        <v>30122</v>
      </c>
      <c r="B618" t="inlineStr">
        <is>
          <t>廣輝二</t>
        </is>
      </c>
      <c r="C618" t="n">
        <v>118.5</v>
      </c>
      <c r="D618" t="n">
        <v>88</v>
      </c>
    </row>
    <row r="619">
      <c r="A619" t="n">
        <v>30131</v>
      </c>
      <c r="B619" t="inlineStr">
        <is>
          <t>晟銘電一</t>
        </is>
      </c>
      <c r="C619" t="n">
        <v>135</v>
      </c>
      <c r="D619" t="n">
        <v>100</v>
      </c>
    </row>
    <row r="620">
      <c r="A620" t="n">
        <v>30132</v>
      </c>
      <c r="B620" t="inlineStr">
        <is>
          <t>晟銘電二</t>
        </is>
      </c>
      <c r="C620" t="n">
        <v>135</v>
      </c>
      <c r="D620" t="n">
        <v>100</v>
      </c>
    </row>
    <row r="621">
      <c r="A621" t="n">
        <v>30133</v>
      </c>
      <c r="B621" t="inlineStr">
        <is>
          <t>晟銘電三</t>
        </is>
      </c>
      <c r="C621" t="n">
        <v>297</v>
      </c>
      <c r="D621" t="n">
        <v>114</v>
      </c>
    </row>
    <row r="622">
      <c r="A622" t="n">
        <v>30134</v>
      </c>
      <c r="B622" t="inlineStr">
        <is>
          <t>晟銘電四</t>
        </is>
      </c>
      <c r="C622" t="n">
        <v>140</v>
      </c>
      <c r="D622" t="n">
        <v>99.3</v>
      </c>
    </row>
    <row r="623">
      <c r="A623" t="n">
        <v>30161</v>
      </c>
      <c r="B623" t="inlineStr">
        <is>
          <t>嘉晶一</t>
        </is>
      </c>
      <c r="C623" t="n">
        <v>163</v>
      </c>
      <c r="D623" t="n">
        <v>89</v>
      </c>
    </row>
    <row r="624">
      <c r="A624" t="n">
        <v>30162</v>
      </c>
      <c r="B624" t="inlineStr">
        <is>
          <t>嘉晶二</t>
        </is>
      </c>
      <c r="C624" t="n">
        <v>114.85</v>
      </c>
      <c r="D624" t="n">
        <v>94.8</v>
      </c>
    </row>
    <row r="625">
      <c r="A625" t="n">
        <v>30163</v>
      </c>
      <c r="B625" t="inlineStr">
        <is>
          <t>嘉晶三</t>
        </is>
      </c>
      <c r="C625" t="n">
        <v>274</v>
      </c>
      <c r="D625" t="n">
        <v>103.5</v>
      </c>
    </row>
    <row r="626">
      <c r="A626" t="n">
        <v>30164</v>
      </c>
      <c r="B626" t="inlineStr">
        <is>
          <t>嘉晶四</t>
        </is>
      </c>
      <c r="C626" t="n">
        <v>122.95</v>
      </c>
      <c r="D626" t="n">
        <v>95.5</v>
      </c>
    </row>
    <row r="627">
      <c r="A627" t="n">
        <v>30165</v>
      </c>
      <c r="B627" t="inlineStr">
        <is>
          <t>嘉晶五</t>
        </is>
      </c>
      <c r="C627" t="n">
        <v>201</v>
      </c>
      <c r="D627" t="n">
        <v>92</v>
      </c>
      <c r="E627" t="inlineStr">
        <is>
          <t>H</t>
        </is>
      </c>
      <c r="F627" s="208" t="n">
        <v>0.4806629834254144</v>
      </c>
    </row>
    <row r="628">
      <c r="A628" t="n">
        <v>30171</v>
      </c>
      <c r="B628" t="inlineStr">
        <is>
          <t>奇鋐一</t>
        </is>
      </c>
      <c r="C628" t="n">
        <v>115</v>
      </c>
      <c r="D628" t="n">
        <v>98.75</v>
      </c>
    </row>
    <row r="629">
      <c r="A629" t="n">
        <v>30181</v>
      </c>
      <c r="B629" t="inlineStr">
        <is>
          <t>同開一</t>
        </is>
      </c>
      <c r="C629" t="n">
        <v>336</v>
      </c>
      <c r="D629" t="n">
        <v>103.05</v>
      </c>
    </row>
    <row r="630">
      <c r="A630" t="n">
        <v>30182</v>
      </c>
      <c r="B630" t="inlineStr">
        <is>
          <t>同開二</t>
        </is>
      </c>
      <c r="C630" t="n">
        <v>141.85</v>
      </c>
      <c r="D630" t="n">
        <v>90.09999999999999</v>
      </c>
    </row>
    <row r="631">
      <c r="A631" t="n">
        <v>30183</v>
      </c>
      <c r="B631" t="inlineStr">
        <is>
          <t>同開三</t>
        </is>
      </c>
      <c r="C631" t="n">
        <v>216</v>
      </c>
      <c r="D631" t="n">
        <v>101.5</v>
      </c>
    </row>
    <row r="632">
      <c r="A632" t="n">
        <v>30184</v>
      </c>
      <c r="B632" t="inlineStr">
        <is>
          <t>隆銘綠能四</t>
        </is>
      </c>
      <c r="C632" t="n">
        <v>125</v>
      </c>
      <c r="D632" t="n">
        <v>99.65000000000001</v>
      </c>
    </row>
    <row r="633">
      <c r="A633" t="n">
        <v>30191</v>
      </c>
      <c r="B633" t="inlineStr">
        <is>
          <t>亞光一</t>
        </is>
      </c>
      <c r="C633" t="n">
        <v>235</v>
      </c>
      <c r="D633" t="n">
        <v>115.35</v>
      </c>
    </row>
    <row r="634">
      <c r="A634" t="n">
        <v>30192</v>
      </c>
      <c r="B634" t="inlineStr">
        <is>
          <t>亞光二</t>
        </is>
      </c>
      <c r="C634" t="n">
        <v>157</v>
      </c>
      <c r="D634" t="n">
        <v>99.5</v>
      </c>
    </row>
    <row r="635">
      <c r="A635" t="n">
        <v>30193</v>
      </c>
      <c r="B635" t="inlineStr">
        <is>
          <t>亞光三</t>
        </is>
      </c>
      <c r="C635" t="n">
        <v>110.5</v>
      </c>
      <c r="D635" t="n">
        <v>96.2</v>
      </c>
    </row>
    <row r="636">
      <c r="A636" t="n">
        <v>30194</v>
      </c>
      <c r="B636" t="inlineStr">
        <is>
          <t>亞光四</t>
        </is>
      </c>
      <c r="C636" t="n">
        <v>110.5</v>
      </c>
      <c r="D636" t="n">
        <v>96.09999999999999</v>
      </c>
    </row>
    <row r="637">
      <c r="A637" t="n">
        <v>30201</v>
      </c>
      <c r="B637" t="inlineStr">
        <is>
          <t>奇普二</t>
        </is>
      </c>
      <c r="C637" t="n">
        <v>125</v>
      </c>
      <c r="D637" t="n">
        <v>90.09999999999999</v>
      </c>
    </row>
    <row r="638">
      <c r="A638" t="n">
        <v>30211</v>
      </c>
      <c r="B638" t="inlineStr">
        <is>
          <t>衛道一</t>
        </is>
      </c>
      <c r="C638" t="n">
        <v>112.9</v>
      </c>
      <c r="D638" t="n">
        <v>36.9</v>
      </c>
    </row>
    <row r="639">
      <c r="A639" t="n">
        <v>30221</v>
      </c>
      <c r="B639" t="inlineStr">
        <is>
          <t>威達一</t>
        </is>
      </c>
      <c r="C639" t="n">
        <v>157</v>
      </c>
      <c r="D639" t="n">
        <v>93</v>
      </c>
    </row>
    <row r="640">
      <c r="A640" t="n">
        <v>30232</v>
      </c>
      <c r="B640" t="inlineStr">
        <is>
          <t>信邦二</t>
        </is>
      </c>
      <c r="C640" t="n">
        <v>119.2</v>
      </c>
      <c r="D640" t="n">
        <v>86.09999999999999</v>
      </c>
    </row>
    <row r="641">
      <c r="A641" t="n">
        <v>30233</v>
      </c>
      <c r="B641" t="inlineStr">
        <is>
          <t>信邦三</t>
        </is>
      </c>
      <c r="C641" t="n">
        <v>134.5</v>
      </c>
      <c r="D641" t="n">
        <v>98</v>
      </c>
    </row>
    <row r="642">
      <c r="A642" t="n">
        <v>30234</v>
      </c>
      <c r="B642" t="inlineStr">
        <is>
          <t>信邦四</t>
        </is>
      </c>
      <c r="C642" t="n">
        <v>129</v>
      </c>
      <c r="D642" t="n">
        <v>103</v>
      </c>
    </row>
    <row r="643">
      <c r="A643" t="n">
        <v>30235</v>
      </c>
      <c r="B643" t="inlineStr">
        <is>
          <t>信邦五</t>
        </is>
      </c>
      <c r="C643" t="n">
        <v>197</v>
      </c>
      <c r="D643" t="n">
        <v>102.1</v>
      </c>
    </row>
    <row r="644">
      <c r="A644" t="n">
        <v>30236</v>
      </c>
      <c r="B644" t="inlineStr">
        <is>
          <t>信邦六</t>
        </is>
      </c>
      <c r="C644" t="n">
        <v>206</v>
      </c>
      <c r="D644" t="n">
        <v>107.5</v>
      </c>
    </row>
    <row r="645">
      <c r="A645" t="n">
        <v>30237</v>
      </c>
      <c r="B645" t="inlineStr">
        <is>
          <t>信邦七</t>
        </is>
      </c>
      <c r="C645" t="n">
        <v>193</v>
      </c>
      <c r="D645" t="n">
        <v>113.5</v>
      </c>
    </row>
    <row r="646">
      <c r="A646" t="n">
        <v>30238</v>
      </c>
      <c r="B646" t="inlineStr">
        <is>
          <t>信邦八</t>
        </is>
      </c>
      <c r="C646" t="n">
        <v>134.05</v>
      </c>
      <c r="D646" t="n">
        <v>99.5</v>
      </c>
    </row>
    <row r="647">
      <c r="A647" t="n">
        <v>30241</v>
      </c>
      <c r="B647" t="inlineStr">
        <is>
          <t>憶聲一</t>
        </is>
      </c>
      <c r="C647" t="n">
        <v>186</v>
      </c>
      <c r="D647" t="n">
        <v>104</v>
      </c>
    </row>
    <row r="648">
      <c r="A648" t="n">
        <v>30251</v>
      </c>
      <c r="B648" t="inlineStr">
        <is>
          <t>星通一</t>
        </is>
      </c>
      <c r="C648" t="n">
        <v>318</v>
      </c>
      <c r="D648" t="n">
        <v>100</v>
      </c>
    </row>
    <row r="649">
      <c r="A649" t="n">
        <v>30261</v>
      </c>
      <c r="B649" t="inlineStr">
        <is>
          <t>禾伸一</t>
        </is>
      </c>
      <c r="C649" t="n">
        <v>181</v>
      </c>
      <c r="D649" t="n">
        <v>104.6</v>
      </c>
    </row>
    <row r="650">
      <c r="A650" t="n">
        <v>30262</v>
      </c>
      <c r="B650" t="inlineStr">
        <is>
          <t>禾伸二</t>
        </is>
      </c>
      <c r="C650" t="n">
        <v>181</v>
      </c>
      <c r="D650" t="n">
        <v>97</v>
      </c>
    </row>
    <row r="651">
      <c r="A651" t="n">
        <v>30263</v>
      </c>
      <c r="B651" t="inlineStr">
        <is>
          <t>禾伸三</t>
        </is>
      </c>
      <c r="C651" t="n">
        <v>114.5</v>
      </c>
      <c r="D651" t="n">
        <v>98.2</v>
      </c>
    </row>
    <row r="652">
      <c r="A652" t="n">
        <v>30271</v>
      </c>
      <c r="B652" t="inlineStr">
        <is>
          <t>盛達一</t>
        </is>
      </c>
      <c r="C652" t="n">
        <v>113.5</v>
      </c>
      <c r="D652" t="n">
        <v>95</v>
      </c>
    </row>
    <row r="653">
      <c r="A653" t="n">
        <v>30281</v>
      </c>
      <c r="B653" t="inlineStr">
        <is>
          <t>增你強一</t>
        </is>
      </c>
      <c r="C653" t="n">
        <v>118.6</v>
      </c>
      <c r="D653" t="n">
        <v>100</v>
      </c>
    </row>
    <row r="654">
      <c r="A654" t="n">
        <v>30282</v>
      </c>
      <c r="B654" t="inlineStr">
        <is>
          <t>增你強二</t>
        </is>
      </c>
      <c r="C654" t="n">
        <v>153</v>
      </c>
      <c r="D654" t="n">
        <v>86.5</v>
      </c>
    </row>
    <row r="655">
      <c r="A655" t="n">
        <v>30283</v>
      </c>
      <c r="B655" t="inlineStr">
        <is>
          <t>增你強三</t>
        </is>
      </c>
      <c r="C655" t="n">
        <v>132</v>
      </c>
      <c r="D655" t="n">
        <v>85.2</v>
      </c>
    </row>
    <row r="656">
      <c r="A656" t="n">
        <v>30284</v>
      </c>
      <c r="B656" t="inlineStr">
        <is>
          <t>增你強四</t>
        </is>
      </c>
      <c r="C656" t="n">
        <v>154</v>
      </c>
      <c r="D656" t="n">
        <v>102</v>
      </c>
    </row>
    <row r="657">
      <c r="A657" t="n">
        <v>30291</v>
      </c>
      <c r="B657" t="inlineStr">
        <is>
          <t>零壹一</t>
        </is>
      </c>
      <c r="C657" t="n">
        <v>174</v>
      </c>
      <c r="D657" t="n">
        <v>101</v>
      </c>
    </row>
    <row r="658">
      <c r="A658" t="n">
        <v>30292</v>
      </c>
      <c r="B658" t="inlineStr">
        <is>
          <t>零壹二</t>
        </is>
      </c>
      <c r="C658" t="n">
        <v>154</v>
      </c>
      <c r="D658" t="n">
        <v>94</v>
      </c>
    </row>
    <row r="659">
      <c r="A659" t="n">
        <v>30321</v>
      </c>
      <c r="B659" t="inlineStr">
        <is>
          <t>偉訓一</t>
        </is>
      </c>
      <c r="C659" t="n">
        <v>110</v>
      </c>
      <c r="D659" t="n">
        <v>87</v>
      </c>
      <c r="F659" s="208" t="inlineStr"/>
    </row>
    <row r="660">
      <c r="A660" t="n">
        <v>30322</v>
      </c>
      <c r="B660" t="inlineStr">
        <is>
          <t>偉訓二</t>
        </is>
      </c>
      <c r="C660" t="n">
        <v>108</v>
      </c>
      <c r="D660" t="n">
        <v>87.2</v>
      </c>
      <c r="F660" s="208" t="inlineStr"/>
    </row>
    <row r="661">
      <c r="A661" t="n">
        <v>30331</v>
      </c>
      <c r="B661" t="inlineStr">
        <is>
          <t>威健一</t>
        </is>
      </c>
      <c r="C661" t="n">
        <v>131</v>
      </c>
      <c r="D661" t="n">
        <v>100</v>
      </c>
    </row>
    <row r="662">
      <c r="A662" t="n">
        <v>30332</v>
      </c>
      <c r="B662" t="inlineStr">
        <is>
          <t>威健二</t>
        </is>
      </c>
      <c r="C662" t="n">
        <v>173</v>
      </c>
      <c r="D662" t="n">
        <v>102</v>
      </c>
    </row>
    <row r="663">
      <c r="A663" t="n">
        <v>30333</v>
      </c>
      <c r="B663" t="inlineStr">
        <is>
          <t>威健三</t>
        </is>
      </c>
      <c r="C663" t="n">
        <v>126</v>
      </c>
      <c r="D663" t="n">
        <v>96</v>
      </c>
    </row>
    <row r="664">
      <c r="A664" t="n">
        <v>30334</v>
      </c>
      <c r="B664" t="inlineStr">
        <is>
          <t>威健四</t>
        </is>
      </c>
      <c r="C664" t="n">
        <v>140.25</v>
      </c>
      <c r="D664" t="n">
        <v>102.8</v>
      </c>
    </row>
    <row r="665">
      <c r="A665" t="n">
        <v>30335</v>
      </c>
      <c r="B665" t="inlineStr">
        <is>
          <t>威健五</t>
        </is>
      </c>
      <c r="C665" t="n">
        <v>192</v>
      </c>
      <c r="D665" t="n">
        <v>102.55</v>
      </c>
    </row>
    <row r="666">
      <c r="A666" t="n">
        <v>30336</v>
      </c>
      <c r="B666" t="inlineStr">
        <is>
          <t>威健六</t>
        </is>
      </c>
      <c r="C666" t="n">
        <v>222</v>
      </c>
      <c r="D666" t="n">
        <v>95.5</v>
      </c>
      <c r="E666" t="inlineStr">
        <is>
          <t>H</t>
        </is>
      </c>
      <c r="F666" s="208" t="n">
        <v>0.48</v>
      </c>
    </row>
    <row r="667">
      <c r="A667" t="n">
        <v>30337</v>
      </c>
      <c r="B667" t="inlineStr">
        <is>
          <t>威健七</t>
        </is>
      </c>
      <c r="C667" t="n">
        <v>159</v>
      </c>
      <c r="D667" t="n">
        <v>100</v>
      </c>
      <c r="E667" t="inlineStr">
        <is>
          <t>H</t>
        </is>
      </c>
      <c r="F667" s="208" t="n">
        <v>0.4324324324324325</v>
      </c>
    </row>
    <row r="668">
      <c r="A668" t="n">
        <v>30341</v>
      </c>
      <c r="B668" t="inlineStr">
        <is>
          <t>聯詠一</t>
        </is>
      </c>
      <c r="C668" t="n">
        <v>0</v>
      </c>
      <c r="D668" t="n">
        <v>0</v>
      </c>
    </row>
    <row r="669">
      <c r="A669" t="n">
        <v>30342</v>
      </c>
      <c r="B669" t="inlineStr">
        <is>
          <t>聯詠二</t>
        </is>
      </c>
      <c r="C669" t="n">
        <v>122</v>
      </c>
      <c r="D669" t="n">
        <v>96.90000000000001</v>
      </c>
    </row>
    <row r="670">
      <c r="A670" t="n">
        <v>30362</v>
      </c>
      <c r="B670" t="inlineStr">
        <is>
          <t>文曄二</t>
        </is>
      </c>
      <c r="C670" t="n">
        <v>125</v>
      </c>
      <c r="D670" t="n">
        <v>98</v>
      </c>
    </row>
    <row r="671">
      <c r="A671" t="n">
        <v>30363</v>
      </c>
      <c r="B671" t="inlineStr">
        <is>
          <t>文曄三</t>
        </is>
      </c>
      <c r="C671" t="n">
        <v>130.05</v>
      </c>
      <c r="D671" t="n">
        <v>93</v>
      </c>
    </row>
    <row r="672">
      <c r="A672" t="n">
        <v>30364</v>
      </c>
      <c r="B672" t="inlineStr">
        <is>
          <t>文曄四</t>
        </is>
      </c>
      <c r="C672" t="n">
        <v>158</v>
      </c>
      <c r="D672" t="n">
        <v>99</v>
      </c>
    </row>
    <row r="673">
      <c r="A673" t="n">
        <v>30365</v>
      </c>
      <c r="B673" t="inlineStr">
        <is>
          <t>文曄五</t>
        </is>
      </c>
      <c r="C673" t="n">
        <v>154</v>
      </c>
      <c r="D673" t="n">
        <v>105.2</v>
      </c>
    </row>
    <row r="674">
      <c r="A674" t="n">
        <v>30366</v>
      </c>
      <c r="B674" t="inlineStr">
        <is>
          <t>文曄六</t>
        </is>
      </c>
      <c r="C674" t="n">
        <v>330</v>
      </c>
      <c r="D674" t="n">
        <v>104</v>
      </c>
    </row>
    <row r="675">
      <c r="A675" t="n">
        <v>30371</v>
      </c>
      <c r="B675" t="inlineStr">
        <is>
          <t>欣興一</t>
        </is>
      </c>
      <c r="C675" t="n">
        <v>666</v>
      </c>
      <c r="D675" t="n">
        <v>111.1</v>
      </c>
      <c r="E675" t="inlineStr">
        <is>
          <t>H</t>
        </is>
      </c>
      <c r="F675" s="208" t="n">
        <v>0.2287822878228782</v>
      </c>
    </row>
    <row r="676">
      <c r="A676" t="n">
        <v>30381</v>
      </c>
      <c r="B676" t="inlineStr">
        <is>
          <t>全台一</t>
        </is>
      </c>
      <c r="C676" t="n">
        <v>233</v>
      </c>
      <c r="D676" t="n">
        <v>122.1</v>
      </c>
    </row>
    <row r="677">
      <c r="A677" t="n">
        <v>30382</v>
      </c>
      <c r="B677" t="inlineStr">
        <is>
          <t>全台二</t>
        </is>
      </c>
      <c r="C677" t="n">
        <v>225</v>
      </c>
      <c r="D677" t="n">
        <v>144.2</v>
      </c>
    </row>
    <row r="678">
      <c r="A678" t="n">
        <v>30383</v>
      </c>
      <c r="B678" t="inlineStr">
        <is>
          <t>全台三</t>
        </is>
      </c>
      <c r="C678" t="n">
        <v>141.5</v>
      </c>
      <c r="D678" t="n">
        <v>89.90000000000001</v>
      </c>
    </row>
    <row r="679">
      <c r="A679" t="n">
        <v>30384</v>
      </c>
      <c r="B679" t="inlineStr">
        <is>
          <t>全台四</t>
        </is>
      </c>
      <c r="C679" t="n">
        <v>120</v>
      </c>
      <c r="D679" t="n">
        <v>99.8</v>
      </c>
    </row>
    <row r="680">
      <c r="A680" t="n">
        <v>30391</v>
      </c>
      <c r="B680" t="inlineStr">
        <is>
          <t>宏傳一</t>
        </is>
      </c>
      <c r="C680" t="n">
        <v>102.4</v>
      </c>
      <c r="D680" t="n">
        <v>102.4</v>
      </c>
    </row>
    <row r="681">
      <c r="A681" t="n">
        <v>30392</v>
      </c>
      <c r="B681" t="inlineStr">
        <is>
          <t>宏傳二</t>
        </is>
      </c>
      <c r="C681" t="n">
        <v>107</v>
      </c>
      <c r="D681" t="n">
        <v>88.55</v>
      </c>
    </row>
    <row r="682">
      <c r="A682" t="n">
        <v>30401</v>
      </c>
      <c r="B682" t="inlineStr">
        <is>
          <t>遠見一</t>
        </is>
      </c>
      <c r="C682" t="n">
        <v>157</v>
      </c>
      <c r="D682" t="n">
        <v>98.05</v>
      </c>
    </row>
    <row r="683">
      <c r="A683" t="n">
        <v>30411</v>
      </c>
      <c r="B683" t="inlineStr">
        <is>
          <t>揚智一</t>
        </is>
      </c>
      <c r="C683" t="n">
        <v>293</v>
      </c>
      <c r="D683" t="n">
        <v>100.5</v>
      </c>
    </row>
    <row r="684">
      <c r="A684" t="n">
        <v>30421</v>
      </c>
      <c r="B684" t="inlineStr">
        <is>
          <t>晶技一</t>
        </is>
      </c>
      <c r="C684" t="n">
        <v>191</v>
      </c>
      <c r="D684" t="n">
        <v>93.05</v>
      </c>
    </row>
    <row r="685">
      <c r="A685" t="n">
        <v>30422</v>
      </c>
      <c r="B685" t="inlineStr">
        <is>
          <t>晶技二</t>
        </is>
      </c>
      <c r="C685" t="n">
        <v>166</v>
      </c>
      <c r="D685" t="n">
        <v>90</v>
      </c>
    </row>
    <row r="686">
      <c r="A686" t="n">
        <v>30423</v>
      </c>
      <c r="B686" t="inlineStr">
        <is>
          <t>晶技三</t>
        </is>
      </c>
      <c r="C686" t="n">
        <v>116.9</v>
      </c>
      <c r="D686" t="n">
        <v>97</v>
      </c>
    </row>
    <row r="687">
      <c r="A687" t="n">
        <v>30424</v>
      </c>
      <c r="B687" t="inlineStr">
        <is>
          <t>晶技四</t>
        </is>
      </c>
      <c r="C687" t="n">
        <v>112.1</v>
      </c>
      <c r="D687" t="n">
        <v>98</v>
      </c>
    </row>
    <row r="688">
      <c r="A688" t="n">
        <v>30425</v>
      </c>
      <c r="B688" t="inlineStr">
        <is>
          <t>晶技五</t>
        </is>
      </c>
      <c r="C688" t="n">
        <v>121.2</v>
      </c>
      <c r="D688" t="n">
        <v>99.65000000000001</v>
      </c>
    </row>
    <row r="689">
      <c r="A689" t="n">
        <v>30431</v>
      </c>
      <c r="B689" t="inlineStr">
        <is>
          <t>科風一</t>
        </is>
      </c>
      <c r="C689" t="n">
        <v>278</v>
      </c>
      <c r="D689" t="n">
        <v>101</v>
      </c>
    </row>
    <row r="690">
      <c r="A690" t="n">
        <v>30432</v>
      </c>
      <c r="B690" t="inlineStr">
        <is>
          <t>科風二</t>
        </is>
      </c>
      <c r="C690" t="n">
        <v>117.2</v>
      </c>
      <c r="D690" t="n">
        <v>95.75</v>
      </c>
    </row>
    <row r="691">
      <c r="A691" t="n">
        <v>30451</v>
      </c>
      <c r="B691" t="inlineStr">
        <is>
          <t>台灣一</t>
        </is>
      </c>
      <c r="C691" t="n">
        <v>146</v>
      </c>
      <c r="D691" t="n">
        <v>113</v>
      </c>
    </row>
    <row r="692">
      <c r="A692" t="n">
        <v>30452</v>
      </c>
      <c r="B692" t="inlineStr">
        <is>
          <t>台灣大二</t>
        </is>
      </c>
      <c r="C692" t="n">
        <v>182</v>
      </c>
      <c r="D692" t="n">
        <v>106</v>
      </c>
    </row>
    <row r="693">
      <c r="A693" t="n">
        <v>30453</v>
      </c>
      <c r="B693" t="inlineStr">
        <is>
          <t>台灣大三</t>
        </is>
      </c>
      <c r="C693" t="n">
        <v>116.65</v>
      </c>
      <c r="D693" t="n">
        <v>100.1</v>
      </c>
    </row>
    <row r="694">
      <c r="A694" t="n">
        <v>30454</v>
      </c>
      <c r="B694" t="inlineStr">
        <is>
          <t>台灣大四</t>
        </is>
      </c>
      <c r="C694" t="n">
        <v>102</v>
      </c>
      <c r="D694" t="n">
        <v>97.59999999999999</v>
      </c>
      <c r="F694" s="208" t="inlineStr"/>
    </row>
    <row r="695">
      <c r="A695" t="n">
        <v>30455</v>
      </c>
      <c r="B695" t="inlineStr">
        <is>
          <t>台灣大五</t>
        </is>
      </c>
      <c r="C695" t="n">
        <v>106.5</v>
      </c>
      <c r="D695" t="n">
        <v>99.5</v>
      </c>
      <c r="E695" t="inlineStr">
        <is>
          <t>H</t>
        </is>
      </c>
      <c r="F695" s="208" t="n">
        <v>0.01816443594646277</v>
      </c>
    </row>
    <row r="696">
      <c r="A696" t="n">
        <v>30471</v>
      </c>
      <c r="B696" t="inlineStr">
        <is>
          <t>訊舟一</t>
        </is>
      </c>
      <c r="C696" t="n">
        <v>109.4</v>
      </c>
      <c r="D696" t="n">
        <v>92.2</v>
      </c>
    </row>
    <row r="697">
      <c r="A697" t="n">
        <v>30472</v>
      </c>
      <c r="B697" t="inlineStr">
        <is>
          <t>訊舟二</t>
        </is>
      </c>
      <c r="C697" t="n">
        <v>178</v>
      </c>
      <c r="D697" t="n">
        <v>87.45</v>
      </c>
    </row>
    <row r="698">
      <c r="A698" t="n">
        <v>30473</v>
      </c>
      <c r="B698" t="inlineStr">
        <is>
          <t>訊舟三</t>
        </is>
      </c>
      <c r="C698" t="n">
        <v>192</v>
      </c>
      <c r="D698" t="n">
        <v>102</v>
      </c>
    </row>
    <row r="699">
      <c r="A699" t="n">
        <v>30474</v>
      </c>
      <c r="B699" t="inlineStr">
        <is>
          <t>訊舟四</t>
        </is>
      </c>
      <c r="C699" t="n">
        <v>120</v>
      </c>
      <c r="D699" t="n">
        <v>96.5</v>
      </c>
    </row>
    <row r="700">
      <c r="A700" t="n">
        <v>30475</v>
      </c>
      <c r="B700" t="inlineStr">
        <is>
          <t>訊舟五</t>
        </is>
      </c>
      <c r="C700" t="n">
        <v>153</v>
      </c>
      <c r="D700" t="n">
        <v>102</v>
      </c>
    </row>
    <row r="701">
      <c r="A701" t="n">
        <v>30476</v>
      </c>
      <c r="B701" t="inlineStr">
        <is>
          <t>訊舟六</t>
        </is>
      </c>
      <c r="C701" t="n">
        <v>128.9</v>
      </c>
      <c r="D701" t="n">
        <v>99.65000000000001</v>
      </c>
    </row>
    <row r="702">
      <c r="A702" t="n">
        <v>30477</v>
      </c>
      <c r="B702" t="inlineStr">
        <is>
          <t>訊舟七</t>
        </is>
      </c>
      <c r="C702" t="n">
        <v>368</v>
      </c>
      <c r="D702" t="n">
        <v>106</v>
      </c>
    </row>
    <row r="703">
      <c r="A703" t="n">
        <v>30478</v>
      </c>
      <c r="B703" t="inlineStr">
        <is>
          <t>訊舟八</t>
        </is>
      </c>
      <c r="C703" t="n">
        <v>0</v>
      </c>
      <c r="D703" t="n">
        <v>0</v>
      </c>
    </row>
    <row r="704">
      <c r="A704" t="n">
        <v>30481</v>
      </c>
      <c r="B704" t="inlineStr">
        <is>
          <t>益登一</t>
        </is>
      </c>
      <c r="C704" t="n">
        <v>128.1</v>
      </c>
      <c r="D704" t="n">
        <v>99.84999999999999</v>
      </c>
    </row>
    <row r="705">
      <c r="A705" t="n">
        <v>30501</v>
      </c>
      <c r="B705" t="inlineStr">
        <is>
          <t>鈺德一</t>
        </is>
      </c>
      <c r="C705" t="n">
        <v>139</v>
      </c>
      <c r="D705" t="n">
        <v>96</v>
      </c>
    </row>
    <row r="706">
      <c r="A706" t="n">
        <v>30511</v>
      </c>
      <c r="B706" t="inlineStr">
        <is>
          <t>力特一</t>
        </is>
      </c>
      <c r="C706" t="n">
        <v>348</v>
      </c>
      <c r="D706" t="n">
        <v>125.55</v>
      </c>
    </row>
    <row r="707">
      <c r="A707" t="n">
        <v>30512</v>
      </c>
      <c r="B707" t="inlineStr">
        <is>
          <t>力特二</t>
        </is>
      </c>
      <c r="C707" t="n">
        <v>420</v>
      </c>
      <c r="D707" t="n">
        <v>101.05</v>
      </c>
    </row>
    <row r="708">
      <c r="A708" t="n">
        <v>30541</v>
      </c>
      <c r="B708" t="inlineStr">
        <is>
          <t>萬國一</t>
        </is>
      </c>
      <c r="C708" t="n">
        <v>153</v>
      </c>
      <c r="D708" t="n">
        <v>100</v>
      </c>
    </row>
    <row r="709">
      <c r="A709" t="n">
        <v>30542</v>
      </c>
      <c r="B709" t="inlineStr">
        <is>
          <t>萬國二</t>
        </is>
      </c>
      <c r="C709" t="n">
        <v>289</v>
      </c>
      <c r="D709" t="n">
        <v>105.8</v>
      </c>
    </row>
    <row r="710">
      <c r="A710" t="n">
        <v>30543</v>
      </c>
      <c r="B710" t="inlineStr">
        <is>
          <t>萬國三</t>
        </is>
      </c>
      <c r="C710" t="n">
        <v>125.5</v>
      </c>
      <c r="D710" t="n">
        <v>99.7</v>
      </c>
    </row>
    <row r="711">
      <c r="A711" t="n">
        <v>30551</v>
      </c>
      <c r="B711" t="inlineStr">
        <is>
          <t>蔚科一</t>
        </is>
      </c>
      <c r="C711" t="n">
        <v>114</v>
      </c>
      <c r="D711" t="n">
        <v>95</v>
      </c>
    </row>
    <row r="712">
      <c r="A712" t="n">
        <v>30561</v>
      </c>
      <c r="B712" t="inlineStr">
        <is>
          <t>駿億一</t>
        </is>
      </c>
      <c r="C712" t="n">
        <v>100</v>
      </c>
      <c r="D712" t="n">
        <v>99</v>
      </c>
    </row>
    <row r="713">
      <c r="A713" t="n">
        <v>30562</v>
      </c>
      <c r="B713" t="inlineStr">
        <is>
          <t>總太二</t>
        </is>
      </c>
      <c r="C713" t="n">
        <v>143.5</v>
      </c>
      <c r="D713" t="n">
        <v>99.05</v>
      </c>
    </row>
    <row r="714">
      <c r="A714" t="n">
        <v>30571</v>
      </c>
      <c r="B714" t="inlineStr">
        <is>
          <t>喬鼎一</t>
        </is>
      </c>
      <c r="C714" t="n">
        <v>146</v>
      </c>
      <c r="D714" t="n">
        <v>99.59999999999999</v>
      </c>
    </row>
    <row r="715">
      <c r="A715" t="n">
        <v>30581</v>
      </c>
      <c r="B715" t="inlineStr">
        <is>
          <t>立德一</t>
        </is>
      </c>
      <c r="C715" t="n">
        <v>148</v>
      </c>
      <c r="D715" t="n">
        <v>98.5</v>
      </c>
    </row>
    <row r="716">
      <c r="A716" t="n">
        <v>30591</v>
      </c>
      <c r="B716" t="inlineStr">
        <is>
          <t>華晶一</t>
        </is>
      </c>
      <c r="C716" t="n">
        <v>160</v>
      </c>
      <c r="D716" t="n">
        <v>98.15000000000001</v>
      </c>
    </row>
    <row r="717">
      <c r="A717" t="n">
        <v>30601</v>
      </c>
      <c r="B717" t="inlineStr">
        <is>
          <t>銘異一</t>
        </is>
      </c>
      <c r="C717" t="n">
        <v>153</v>
      </c>
      <c r="D717" t="n">
        <v>96</v>
      </c>
    </row>
    <row r="718">
      <c r="A718" t="n">
        <v>30602</v>
      </c>
      <c r="B718" t="inlineStr">
        <is>
          <t>銘異二</t>
        </is>
      </c>
      <c r="C718" t="n">
        <v>232</v>
      </c>
      <c r="D718" t="n">
        <v>106.1</v>
      </c>
    </row>
    <row r="719">
      <c r="A719" t="n">
        <v>30603</v>
      </c>
      <c r="B719" t="inlineStr">
        <is>
          <t>銘異三</t>
        </is>
      </c>
      <c r="C719" t="n">
        <v>226</v>
      </c>
      <c r="D719" t="n">
        <v>95</v>
      </c>
    </row>
    <row r="720">
      <c r="A720" t="n">
        <v>30611</v>
      </c>
      <c r="B720" t="inlineStr">
        <is>
          <t>璨圓一</t>
        </is>
      </c>
      <c r="C720" t="n">
        <v>219</v>
      </c>
      <c r="D720" t="n">
        <v>87</v>
      </c>
    </row>
    <row r="721">
      <c r="A721" t="n">
        <v>30612</v>
      </c>
      <c r="B721" t="inlineStr">
        <is>
          <t>璨圓二</t>
        </is>
      </c>
      <c r="C721" t="n">
        <v>228</v>
      </c>
      <c r="D721" t="n">
        <v>107</v>
      </c>
    </row>
    <row r="722">
      <c r="A722" t="n">
        <v>30613</v>
      </c>
      <c r="B722" t="inlineStr">
        <is>
          <t>璨圓三</t>
        </is>
      </c>
      <c r="C722" t="n">
        <v>245</v>
      </c>
      <c r="D722" t="n">
        <v>92.8</v>
      </c>
    </row>
    <row r="723">
      <c r="A723" t="n">
        <v>30614</v>
      </c>
      <c r="B723" t="inlineStr">
        <is>
          <t>璨圓四</t>
        </is>
      </c>
      <c r="C723" t="n">
        <v>115.7</v>
      </c>
      <c r="D723" t="n">
        <v>97.5</v>
      </c>
    </row>
    <row r="724">
      <c r="A724" t="n">
        <v>30661</v>
      </c>
      <c r="B724" t="inlineStr">
        <is>
          <t>李洲一</t>
        </is>
      </c>
      <c r="C724" t="n">
        <v>215</v>
      </c>
      <c r="D724" t="n">
        <v>101</v>
      </c>
    </row>
    <row r="725">
      <c r="A725" t="n">
        <v>30681</v>
      </c>
      <c r="B725" t="inlineStr">
        <is>
          <t>美磊一</t>
        </is>
      </c>
      <c r="C725" t="n">
        <v>119.5</v>
      </c>
      <c r="D725" t="n">
        <v>92.59999999999999</v>
      </c>
    </row>
    <row r="726">
      <c r="A726" t="n">
        <v>30711</v>
      </c>
      <c r="B726" t="inlineStr">
        <is>
          <t>協禧一</t>
        </is>
      </c>
      <c r="C726" t="n">
        <v>144</v>
      </c>
      <c r="D726" t="n">
        <v>101</v>
      </c>
    </row>
    <row r="727">
      <c r="A727" t="n">
        <v>30731</v>
      </c>
      <c r="B727" t="inlineStr">
        <is>
          <t>普格一</t>
        </is>
      </c>
      <c r="C727" t="n">
        <v>133</v>
      </c>
      <c r="D727" t="n">
        <v>97.05</v>
      </c>
    </row>
    <row r="728">
      <c r="A728" t="n">
        <v>30732</v>
      </c>
      <c r="B728" t="inlineStr">
        <is>
          <t>普格二</t>
        </is>
      </c>
      <c r="C728" t="n">
        <v>132</v>
      </c>
      <c r="D728" t="n">
        <v>86</v>
      </c>
    </row>
    <row r="729">
      <c r="A729" t="n">
        <v>30733</v>
      </c>
      <c r="B729" t="inlineStr">
        <is>
          <t>普格三</t>
        </is>
      </c>
      <c r="C729" t="n">
        <v>222</v>
      </c>
      <c r="D729" t="n">
        <v>99.05</v>
      </c>
    </row>
    <row r="730">
      <c r="A730" t="n">
        <v>30791</v>
      </c>
      <c r="B730" t="inlineStr">
        <is>
          <t>宏億一</t>
        </is>
      </c>
      <c r="C730" t="n">
        <v>120</v>
      </c>
      <c r="D730" t="n">
        <v>97</v>
      </c>
    </row>
    <row r="731">
      <c r="A731" t="n">
        <v>30851</v>
      </c>
      <c r="B731" t="inlineStr">
        <is>
          <t>久大一</t>
        </is>
      </c>
      <c r="C731" t="n">
        <v>167</v>
      </c>
      <c r="D731" t="n">
        <v>105.7</v>
      </c>
    </row>
    <row r="732">
      <c r="A732" t="n">
        <v>30861</v>
      </c>
      <c r="B732" t="inlineStr">
        <is>
          <t>華義一</t>
        </is>
      </c>
      <c r="C732" t="n">
        <v>158</v>
      </c>
      <c r="D732" t="n">
        <v>99.59999999999999</v>
      </c>
    </row>
    <row r="733">
      <c r="A733" t="n">
        <v>30881</v>
      </c>
      <c r="B733" t="inlineStr">
        <is>
          <t>艾訊一</t>
        </is>
      </c>
      <c r="C733" t="n">
        <v>129</v>
      </c>
      <c r="D733" t="n">
        <v>104</v>
      </c>
    </row>
    <row r="734">
      <c r="A734" t="n">
        <v>30882</v>
      </c>
      <c r="B734" t="inlineStr">
        <is>
          <t>艾訊二</t>
        </is>
      </c>
      <c r="C734" t="n">
        <v>170</v>
      </c>
      <c r="D734" t="n">
        <v>104.05</v>
      </c>
      <c r="E734" t="inlineStr">
        <is>
          <t>H</t>
        </is>
      </c>
      <c r="F734" s="208" t="n">
        <v>0.01796407185628742</v>
      </c>
    </row>
    <row r="735">
      <c r="A735" t="n">
        <v>30891</v>
      </c>
      <c r="B735" t="inlineStr">
        <is>
          <t>展成一</t>
        </is>
      </c>
      <c r="C735" t="n">
        <v>103.45</v>
      </c>
      <c r="D735" t="n">
        <v>80.5</v>
      </c>
    </row>
    <row r="736">
      <c r="A736" t="n">
        <v>30892</v>
      </c>
      <c r="B736" t="inlineStr">
        <is>
          <t>展成二</t>
        </is>
      </c>
      <c r="C736" t="n">
        <v>220</v>
      </c>
      <c r="D736" t="n">
        <v>107</v>
      </c>
    </row>
    <row r="737">
      <c r="A737" t="n">
        <v>30901</v>
      </c>
      <c r="B737" t="inlineStr">
        <is>
          <t>日電一</t>
        </is>
      </c>
      <c r="C737" t="n">
        <v>188</v>
      </c>
      <c r="D737" t="n">
        <v>99</v>
      </c>
    </row>
    <row r="738">
      <c r="A738" t="n">
        <v>30921</v>
      </c>
      <c r="B738" t="inlineStr">
        <is>
          <t>鴻碩一</t>
        </is>
      </c>
      <c r="C738" t="n">
        <v>213</v>
      </c>
      <c r="D738" t="n">
        <v>99.84999999999999</v>
      </c>
    </row>
    <row r="739">
      <c r="A739" t="n">
        <v>30922</v>
      </c>
      <c r="B739" t="inlineStr">
        <is>
          <t>鴻碩二</t>
        </is>
      </c>
      <c r="C739" t="n">
        <v>116.6</v>
      </c>
      <c r="D739" t="n">
        <v>94</v>
      </c>
    </row>
    <row r="740">
      <c r="A740" t="n">
        <v>30951</v>
      </c>
      <c r="B740" t="inlineStr">
        <is>
          <t>及成一</t>
        </is>
      </c>
      <c r="C740" t="n">
        <v>109.5</v>
      </c>
      <c r="D740" t="n">
        <v>37.2</v>
      </c>
    </row>
    <row r="741">
      <c r="A741" t="n">
        <v>30952</v>
      </c>
      <c r="B741" t="inlineStr">
        <is>
          <t xml:space="preserve">及成二 </t>
        </is>
      </c>
      <c r="C741" t="n">
        <v>180</v>
      </c>
      <c r="D741" t="n">
        <v>96</v>
      </c>
    </row>
    <row r="742">
      <c r="A742" t="n">
        <v>30953</v>
      </c>
      <c r="B742" t="inlineStr">
        <is>
          <t>及成三</t>
        </is>
      </c>
      <c r="C742" t="n">
        <v>115.6</v>
      </c>
      <c r="D742" t="n">
        <v>97.5</v>
      </c>
    </row>
    <row r="743">
      <c r="A743" t="n">
        <v>30954</v>
      </c>
      <c r="B743" t="inlineStr">
        <is>
          <t>及成四</t>
        </is>
      </c>
      <c r="C743" t="n">
        <v>134</v>
      </c>
      <c r="D743" t="n">
        <v>103.6</v>
      </c>
      <c r="E743" t="inlineStr">
        <is>
          <t>H</t>
        </is>
      </c>
      <c r="F743" s="208" t="n">
        <v>0.03875968992248062</v>
      </c>
    </row>
    <row r="744">
      <c r="A744" t="n">
        <v>30991</v>
      </c>
      <c r="B744" t="inlineStr">
        <is>
          <t xml:space="preserve">頂倫一 </t>
        </is>
      </c>
      <c r="C744" t="n">
        <v>218</v>
      </c>
      <c r="D744" t="n">
        <v>100</v>
      </c>
    </row>
    <row r="745">
      <c r="A745" t="n">
        <v>30992</v>
      </c>
      <c r="B745" t="inlineStr">
        <is>
          <t>頂倫二</t>
        </is>
      </c>
      <c r="C745" t="n">
        <v>151</v>
      </c>
      <c r="D745" t="n">
        <v>90</v>
      </c>
    </row>
    <row r="746">
      <c r="A746" t="n">
        <v>31221</v>
      </c>
      <c r="B746" t="inlineStr">
        <is>
          <t>笙泉一</t>
        </is>
      </c>
      <c r="C746" t="n">
        <v>138</v>
      </c>
      <c r="D746" t="n">
        <v>99.09999999999999</v>
      </c>
    </row>
    <row r="747">
      <c r="A747" t="n">
        <v>31222</v>
      </c>
      <c r="B747" t="inlineStr">
        <is>
          <t>笙泉二</t>
        </is>
      </c>
      <c r="C747" t="n">
        <v>144</v>
      </c>
      <c r="D747" t="n">
        <v>92.05</v>
      </c>
    </row>
    <row r="748">
      <c r="A748" t="n">
        <v>31261</v>
      </c>
      <c r="B748" t="inlineStr">
        <is>
          <t>信億一</t>
        </is>
      </c>
      <c r="C748" t="n">
        <v>226</v>
      </c>
      <c r="D748" t="n">
        <v>99.09999999999999</v>
      </c>
    </row>
    <row r="749">
      <c r="A749" t="n">
        <v>31281</v>
      </c>
      <c r="B749" t="inlineStr">
        <is>
          <t>昇銳一</t>
        </is>
      </c>
      <c r="C749" t="n">
        <v>121</v>
      </c>
      <c r="D749" t="n">
        <v>99.8</v>
      </c>
    </row>
    <row r="750">
      <c r="A750" t="n">
        <v>31282</v>
      </c>
      <c r="B750" t="inlineStr">
        <is>
          <t>昇銳二</t>
        </is>
      </c>
      <c r="C750" t="n">
        <v>125</v>
      </c>
      <c r="D750" t="n">
        <v>95.05</v>
      </c>
    </row>
    <row r="751">
      <c r="A751" t="n">
        <v>31311</v>
      </c>
      <c r="B751" t="inlineStr">
        <is>
          <t>弘塑一</t>
        </is>
      </c>
      <c r="C751" t="n">
        <v>217</v>
      </c>
      <c r="D751" t="n">
        <v>106.8</v>
      </c>
      <c r="E751" t="inlineStr">
        <is>
          <t>H</t>
        </is>
      </c>
      <c r="F751" s="208" t="n">
        <v>0.06896551724137931</v>
      </c>
    </row>
    <row r="752">
      <c r="A752" t="n">
        <v>31312</v>
      </c>
      <c r="B752" t="inlineStr">
        <is>
          <t>弘塑二</t>
        </is>
      </c>
      <c r="C752" t="n">
        <v>232</v>
      </c>
      <c r="D752" t="n">
        <v>110.3</v>
      </c>
      <c r="E752" t="inlineStr">
        <is>
          <t>H</t>
        </is>
      </c>
      <c r="F752" s="208" t="n">
        <v>0.07407407407407407</v>
      </c>
    </row>
    <row r="753">
      <c r="A753" t="n">
        <v>31351</v>
      </c>
      <c r="B753" t="inlineStr">
        <is>
          <t>凌航一</t>
        </is>
      </c>
      <c r="C753" t="n">
        <v>454</v>
      </c>
      <c r="D753" t="n">
        <v>119.5</v>
      </c>
      <c r="E753" t="inlineStr">
        <is>
          <t>H</t>
        </is>
      </c>
      <c r="F753" s="208" t="n">
        <v>0.5033112582781457</v>
      </c>
    </row>
    <row r="754">
      <c r="A754" t="n">
        <v>31381</v>
      </c>
      <c r="B754" t="inlineStr">
        <is>
          <t>耀登一</t>
        </is>
      </c>
      <c r="C754" t="n">
        <v>121.5</v>
      </c>
      <c r="D754" t="n">
        <v>99.65000000000001</v>
      </c>
    </row>
    <row r="755">
      <c r="A755" t="n">
        <v>31382</v>
      </c>
      <c r="B755" t="inlineStr">
        <is>
          <t>耀登二</t>
        </is>
      </c>
      <c r="C755" t="n">
        <v>203</v>
      </c>
      <c r="D755" t="n">
        <v>97.5</v>
      </c>
    </row>
    <row r="756">
      <c r="A756" t="n">
        <v>31411</v>
      </c>
      <c r="B756" t="inlineStr">
        <is>
          <t>晶宏一</t>
        </is>
      </c>
      <c r="C756" t="n">
        <v>489</v>
      </c>
      <c r="D756" t="n">
        <v>111.1</v>
      </c>
    </row>
    <row r="757">
      <c r="A757" t="n">
        <v>31412</v>
      </c>
      <c r="B757" t="inlineStr">
        <is>
          <t>晶宏二</t>
        </is>
      </c>
      <c r="C757" t="n">
        <v>128.1</v>
      </c>
      <c r="D757" t="n">
        <v>94.40000000000001</v>
      </c>
    </row>
    <row r="758">
      <c r="A758" t="n">
        <v>31413</v>
      </c>
      <c r="B758" t="inlineStr">
        <is>
          <t>晶宏三</t>
        </is>
      </c>
      <c r="C758" t="n">
        <v>130</v>
      </c>
      <c r="D758" t="n">
        <v>95.90000000000001</v>
      </c>
    </row>
    <row r="759">
      <c r="A759" t="n">
        <v>31421</v>
      </c>
      <c r="B759" t="inlineStr">
        <is>
          <t>遠茂一</t>
        </is>
      </c>
      <c r="C759" t="n">
        <v>112</v>
      </c>
      <c r="D759" t="n">
        <v>99.5</v>
      </c>
    </row>
    <row r="760">
      <c r="A760" t="n">
        <v>31441</v>
      </c>
      <c r="B760" t="inlineStr">
        <is>
          <t>新揚一</t>
        </is>
      </c>
      <c r="C760" t="n">
        <v>153</v>
      </c>
      <c r="D760" t="n">
        <v>100</v>
      </c>
    </row>
    <row r="761">
      <c r="A761" t="n">
        <v>31442</v>
      </c>
      <c r="B761" t="inlineStr">
        <is>
          <t>新揚二</t>
        </is>
      </c>
      <c r="C761" t="n">
        <v>123</v>
      </c>
      <c r="D761" t="n">
        <v>79</v>
      </c>
    </row>
    <row r="762">
      <c r="A762" t="n">
        <v>31491</v>
      </c>
      <c r="B762" t="inlineStr">
        <is>
          <t>正達一</t>
        </is>
      </c>
      <c r="C762" t="n">
        <v>106.5</v>
      </c>
      <c r="D762" t="n">
        <v>96</v>
      </c>
    </row>
    <row r="763">
      <c r="A763" t="n">
        <v>31492</v>
      </c>
      <c r="B763" t="inlineStr">
        <is>
          <t>正達二</t>
        </is>
      </c>
      <c r="C763" t="n">
        <v>100.6</v>
      </c>
      <c r="D763" t="n">
        <v>83</v>
      </c>
    </row>
    <row r="764">
      <c r="A764" t="n">
        <v>31493</v>
      </c>
      <c r="B764" t="inlineStr">
        <is>
          <t>正達三</t>
        </is>
      </c>
      <c r="C764" t="n">
        <v>137</v>
      </c>
      <c r="D764" t="n">
        <v>99.7</v>
      </c>
    </row>
    <row r="765">
      <c r="A765" t="n">
        <v>31621</v>
      </c>
      <c r="B765" t="inlineStr">
        <is>
          <t>精確一</t>
        </is>
      </c>
      <c r="C765" t="n">
        <v>135</v>
      </c>
      <c r="D765" t="n">
        <v>94</v>
      </c>
    </row>
    <row r="766">
      <c r="A766" t="n">
        <v>31622</v>
      </c>
      <c r="B766" t="inlineStr">
        <is>
          <t>精確二</t>
        </is>
      </c>
      <c r="C766" t="n">
        <v>166</v>
      </c>
      <c r="D766" t="n">
        <v>102</v>
      </c>
    </row>
    <row r="767">
      <c r="A767" t="n">
        <v>31631</v>
      </c>
      <c r="B767" t="inlineStr">
        <is>
          <t>波若威一</t>
        </is>
      </c>
      <c r="C767" t="n">
        <v>402</v>
      </c>
      <c r="D767" t="n">
        <v>107</v>
      </c>
    </row>
    <row r="768">
      <c r="A768" t="n">
        <v>31632</v>
      </c>
      <c r="B768" t="inlineStr">
        <is>
          <t>波若威二</t>
        </is>
      </c>
      <c r="C768" t="n">
        <v>193</v>
      </c>
      <c r="D768" t="n">
        <v>101.5</v>
      </c>
    </row>
    <row r="769">
      <c r="A769" t="n">
        <v>31641</v>
      </c>
      <c r="B769" t="inlineStr">
        <is>
          <t>景岳一</t>
        </is>
      </c>
      <c r="C769" t="n">
        <v>136.95</v>
      </c>
      <c r="D769" t="n">
        <v>100.1</v>
      </c>
    </row>
    <row r="770">
      <c r="A770" t="n">
        <v>31642</v>
      </c>
      <c r="B770" t="inlineStr">
        <is>
          <t>景岳二</t>
        </is>
      </c>
      <c r="C770" t="n">
        <v>130</v>
      </c>
      <c r="D770" t="n">
        <v>96.15000000000001</v>
      </c>
    </row>
    <row r="771">
      <c r="A771" t="n">
        <v>31671</v>
      </c>
      <c r="B771" t="inlineStr">
        <is>
          <t>大量一</t>
        </is>
      </c>
      <c r="C771" t="n">
        <v>230</v>
      </c>
      <c r="D771" t="n">
        <v>90</v>
      </c>
    </row>
    <row r="772">
      <c r="A772" t="n">
        <v>31672</v>
      </c>
      <c r="B772" t="inlineStr">
        <is>
          <t>大量二</t>
        </is>
      </c>
      <c r="C772" t="n">
        <v>536</v>
      </c>
      <c r="D772" t="n">
        <v>113</v>
      </c>
      <c r="E772" t="inlineStr">
        <is>
          <t>H</t>
        </is>
      </c>
      <c r="F772" s="208" t="n">
        <v>0.06349206349206349</v>
      </c>
    </row>
    <row r="773">
      <c r="A773" t="n">
        <v>31711</v>
      </c>
      <c r="B773" t="inlineStr">
        <is>
          <t>新洲一</t>
        </is>
      </c>
      <c r="C773" t="n">
        <v>113</v>
      </c>
      <c r="D773" t="n">
        <v>101.5</v>
      </c>
    </row>
    <row r="774">
      <c r="A774" t="n">
        <v>31712</v>
      </c>
      <c r="B774" t="inlineStr">
        <is>
          <t>新洲二</t>
        </is>
      </c>
      <c r="C774" t="n">
        <v>123</v>
      </c>
      <c r="D774" t="n">
        <v>99.84999999999999</v>
      </c>
    </row>
    <row r="775">
      <c r="A775" t="n">
        <v>31881</v>
      </c>
      <c r="B775" t="inlineStr">
        <is>
          <t>鑫龍騰一</t>
        </is>
      </c>
      <c r="C775" t="n">
        <v>125</v>
      </c>
      <c r="D775" t="n">
        <v>100.4</v>
      </c>
    </row>
    <row r="776">
      <c r="A776" t="n">
        <v>31882</v>
      </c>
      <c r="B776" t="inlineStr">
        <is>
          <t>鑫龍騰二</t>
        </is>
      </c>
      <c r="C776" t="n">
        <v>106.9</v>
      </c>
      <c r="D776" t="n">
        <v>91</v>
      </c>
    </row>
    <row r="777">
      <c r="A777" t="n">
        <v>32021</v>
      </c>
      <c r="B777" t="inlineStr">
        <is>
          <t>樺晟一</t>
        </is>
      </c>
      <c r="C777" t="n">
        <v>144</v>
      </c>
      <c r="D777" t="n">
        <v>88.05</v>
      </c>
    </row>
    <row r="778">
      <c r="A778" t="n">
        <v>32022</v>
      </c>
      <c r="B778" t="inlineStr">
        <is>
          <t>樺晟二</t>
        </is>
      </c>
      <c r="C778" t="n">
        <v>115.6</v>
      </c>
      <c r="D778" t="n">
        <v>98</v>
      </c>
    </row>
    <row r="779">
      <c r="A779" t="n">
        <v>32023</v>
      </c>
      <c r="B779" t="inlineStr">
        <is>
          <t>樺晟三</t>
        </is>
      </c>
      <c r="C779" t="n">
        <v>183</v>
      </c>
      <c r="D779" t="n">
        <v>103.2</v>
      </c>
    </row>
    <row r="780">
      <c r="A780" t="n">
        <v>32024</v>
      </c>
      <c r="B780" t="inlineStr">
        <is>
          <t>樺晟四</t>
        </is>
      </c>
      <c r="C780" t="n">
        <v>134.4</v>
      </c>
      <c r="D780" t="n">
        <v>100.6</v>
      </c>
    </row>
    <row r="781">
      <c r="A781" t="n">
        <v>32051</v>
      </c>
      <c r="B781" t="inlineStr">
        <is>
          <t>佰研一</t>
        </is>
      </c>
      <c r="C781" t="n">
        <v>1100</v>
      </c>
      <c r="D781" t="n">
        <v>107</v>
      </c>
    </row>
    <row r="782">
      <c r="A782" t="n">
        <v>32052</v>
      </c>
      <c r="B782" t="inlineStr">
        <is>
          <t>佰研二</t>
        </is>
      </c>
      <c r="C782" t="n">
        <v>377</v>
      </c>
      <c r="D782" t="n">
        <v>110</v>
      </c>
    </row>
    <row r="783">
      <c r="A783" t="n">
        <v>32071</v>
      </c>
      <c r="B783" t="inlineStr">
        <is>
          <t>耀勝一</t>
        </is>
      </c>
      <c r="C783" t="n">
        <v>155</v>
      </c>
      <c r="D783" t="n">
        <v>97.59999999999999</v>
      </c>
    </row>
    <row r="784">
      <c r="A784" t="n">
        <v>32091</v>
      </c>
      <c r="B784" t="inlineStr">
        <is>
          <t>全科一</t>
        </is>
      </c>
      <c r="C784" t="n">
        <v>157</v>
      </c>
      <c r="D784" t="n">
        <v>100</v>
      </c>
    </row>
    <row r="785">
      <c r="A785" t="n">
        <v>32092</v>
      </c>
      <c r="B785" t="inlineStr">
        <is>
          <t>全科二</t>
        </is>
      </c>
      <c r="C785" t="n">
        <v>115.45</v>
      </c>
      <c r="D785" t="n">
        <v>91.05</v>
      </c>
    </row>
    <row r="786">
      <c r="A786" t="n">
        <v>32093</v>
      </c>
      <c r="B786" t="inlineStr">
        <is>
          <t>全科三</t>
        </is>
      </c>
      <c r="C786" t="n">
        <v>120.95</v>
      </c>
      <c r="D786" t="n">
        <v>94.7</v>
      </c>
    </row>
    <row r="787">
      <c r="A787" t="n">
        <v>32094</v>
      </c>
      <c r="B787" t="inlineStr">
        <is>
          <t>全科四</t>
        </is>
      </c>
      <c r="C787" t="n">
        <v>150</v>
      </c>
      <c r="D787" t="n">
        <v>96.2</v>
      </c>
    </row>
    <row r="788">
      <c r="A788" t="n">
        <v>32111</v>
      </c>
      <c r="B788" t="inlineStr">
        <is>
          <t>順達一</t>
        </is>
      </c>
      <c r="C788" t="n">
        <v>321</v>
      </c>
      <c r="D788" t="n">
        <v>101</v>
      </c>
    </row>
    <row r="789">
      <c r="A789" t="n">
        <v>32141</v>
      </c>
      <c r="B789" t="inlineStr">
        <is>
          <t>元砷一</t>
        </is>
      </c>
      <c r="C789" t="n">
        <v>139</v>
      </c>
      <c r="D789" t="n">
        <v>101.2</v>
      </c>
    </row>
    <row r="790">
      <c r="A790" t="n">
        <v>32171</v>
      </c>
      <c r="B790" t="inlineStr">
        <is>
          <t>優群一</t>
        </is>
      </c>
      <c r="C790" t="n">
        <v>119</v>
      </c>
      <c r="D790" t="n">
        <v>98.5</v>
      </c>
    </row>
    <row r="791">
      <c r="A791" t="n">
        <v>32181</v>
      </c>
      <c r="B791" t="inlineStr">
        <is>
          <t>大學一</t>
        </is>
      </c>
      <c r="C791" t="n">
        <v>157</v>
      </c>
      <c r="D791" t="n">
        <v>73.75</v>
      </c>
    </row>
    <row r="792">
      <c r="A792" t="n">
        <v>32241</v>
      </c>
      <c r="B792" t="inlineStr">
        <is>
          <t>三顧一</t>
        </is>
      </c>
      <c r="C792" t="n">
        <v>154</v>
      </c>
      <c r="D792" t="n">
        <v>98</v>
      </c>
    </row>
    <row r="793">
      <c r="A793" t="n">
        <v>32242</v>
      </c>
      <c r="B793" t="inlineStr">
        <is>
          <t>三顧二</t>
        </is>
      </c>
      <c r="C793" t="n">
        <v>151</v>
      </c>
      <c r="D793" t="n">
        <v>101.2</v>
      </c>
    </row>
    <row r="794">
      <c r="A794" t="n">
        <v>32243</v>
      </c>
      <c r="B794" t="inlineStr">
        <is>
          <t>三顧三</t>
        </is>
      </c>
      <c r="C794" t="n">
        <v>133</v>
      </c>
      <c r="D794" t="n">
        <v>99.15000000000001</v>
      </c>
    </row>
    <row r="795">
      <c r="A795" t="n">
        <v>32291</v>
      </c>
      <c r="B795" t="inlineStr">
        <is>
          <t>晟鈦一</t>
        </is>
      </c>
      <c r="C795" t="n">
        <v>149.8</v>
      </c>
      <c r="D795" t="n">
        <v>81.5</v>
      </c>
    </row>
    <row r="796">
      <c r="A796" t="n">
        <v>32301</v>
      </c>
      <c r="B796" t="inlineStr">
        <is>
          <t>錦明一</t>
        </is>
      </c>
      <c r="C796" t="n">
        <v>125.1</v>
      </c>
      <c r="D796" t="n">
        <v>90</v>
      </c>
    </row>
    <row r="797">
      <c r="A797" t="n">
        <v>32302</v>
      </c>
      <c r="B797" t="inlineStr">
        <is>
          <t>錦明二</t>
        </is>
      </c>
      <c r="C797" t="n">
        <v>153</v>
      </c>
      <c r="D797" t="n">
        <v>93.5</v>
      </c>
    </row>
    <row r="798">
      <c r="A798" t="n">
        <v>32341</v>
      </c>
      <c r="B798" t="inlineStr">
        <is>
          <t>光環一</t>
        </is>
      </c>
      <c r="C798" t="n">
        <v>120.5</v>
      </c>
      <c r="D798" t="n">
        <v>100.65</v>
      </c>
    </row>
    <row r="799">
      <c r="A799" t="n">
        <v>32342</v>
      </c>
      <c r="B799" t="inlineStr">
        <is>
          <t>光環二</t>
        </is>
      </c>
      <c r="C799" t="n">
        <v>114.5</v>
      </c>
      <c r="D799" t="n">
        <v>100</v>
      </c>
    </row>
    <row r="800">
      <c r="A800" t="n">
        <v>32361</v>
      </c>
      <c r="B800" t="inlineStr">
        <is>
          <t>千如一</t>
        </is>
      </c>
      <c r="C800" t="n">
        <v>170</v>
      </c>
      <c r="D800" t="n">
        <v>93</v>
      </c>
    </row>
    <row r="801">
      <c r="A801" t="n">
        <v>32521</v>
      </c>
      <c r="B801" t="inlineStr">
        <is>
          <t>海灣一</t>
        </is>
      </c>
      <c r="C801" t="n">
        <v>159</v>
      </c>
      <c r="D801" t="n">
        <v>24.2</v>
      </c>
    </row>
    <row r="802">
      <c r="A802" t="n">
        <v>32522</v>
      </c>
      <c r="B802" t="inlineStr">
        <is>
          <t>海灣二</t>
        </is>
      </c>
      <c r="C802" t="n">
        <v>231</v>
      </c>
      <c r="D802" t="n">
        <v>100</v>
      </c>
    </row>
    <row r="803">
      <c r="A803" t="n">
        <v>32523</v>
      </c>
      <c r="B803" t="inlineStr">
        <is>
          <t>海灣三</t>
        </is>
      </c>
      <c r="C803" t="n">
        <v>130</v>
      </c>
      <c r="D803" t="n">
        <v>100.45</v>
      </c>
    </row>
    <row r="804">
      <c r="A804" t="n">
        <v>32571</v>
      </c>
      <c r="B804" t="inlineStr">
        <is>
          <t>虹冠電一</t>
        </is>
      </c>
      <c r="C804" t="n">
        <v>129</v>
      </c>
      <c r="D804" t="n">
        <v>92</v>
      </c>
    </row>
    <row r="805">
      <c r="A805" t="n">
        <v>32601</v>
      </c>
      <c r="B805" t="inlineStr">
        <is>
          <t>威剛一</t>
        </is>
      </c>
      <c r="C805" t="n">
        <v>200</v>
      </c>
      <c r="D805" t="n">
        <v>107</v>
      </c>
    </row>
    <row r="806">
      <c r="A806" t="n">
        <v>32602</v>
      </c>
      <c r="B806" t="inlineStr">
        <is>
          <t>威剛二</t>
        </is>
      </c>
      <c r="C806" t="n">
        <v>130</v>
      </c>
      <c r="D806" t="n">
        <v>91</v>
      </c>
    </row>
    <row r="807">
      <c r="A807" t="n">
        <v>32603</v>
      </c>
      <c r="B807" t="inlineStr">
        <is>
          <t>威剛三</t>
        </is>
      </c>
      <c r="C807" t="n">
        <v>297</v>
      </c>
      <c r="D807" t="n">
        <v>106.75</v>
      </c>
    </row>
    <row r="808">
      <c r="A808" t="n">
        <v>32604</v>
      </c>
      <c r="B808" t="inlineStr">
        <is>
          <t>威剛四</t>
        </is>
      </c>
      <c r="C808" t="n">
        <v>163</v>
      </c>
      <c r="D808" t="n">
        <v>101.75</v>
      </c>
    </row>
    <row r="809">
      <c r="A809" t="n">
        <v>32605</v>
      </c>
      <c r="B809" t="inlineStr">
        <is>
          <t>威剛五</t>
        </is>
      </c>
      <c r="C809" t="n">
        <v>172</v>
      </c>
      <c r="D809" t="n">
        <v>96</v>
      </c>
    </row>
    <row r="810">
      <c r="A810" t="n">
        <v>32606</v>
      </c>
      <c r="B810" t="inlineStr">
        <is>
          <t>威剛六</t>
        </is>
      </c>
      <c r="C810" t="n">
        <v>191</v>
      </c>
      <c r="D810" t="n">
        <v>107</v>
      </c>
    </row>
    <row r="811">
      <c r="A811" t="n">
        <v>32607</v>
      </c>
      <c r="B811" t="inlineStr">
        <is>
          <t>威剛七</t>
        </is>
      </c>
      <c r="C811" t="n">
        <v>224</v>
      </c>
      <c r="D811" t="n">
        <v>109.1</v>
      </c>
    </row>
    <row r="812">
      <c r="A812" t="n">
        <v>32608</v>
      </c>
      <c r="B812" t="inlineStr">
        <is>
          <t>威剛八</t>
        </is>
      </c>
      <c r="C812" t="n">
        <v>219</v>
      </c>
      <c r="D812" t="n">
        <v>110</v>
      </c>
    </row>
    <row r="813">
      <c r="A813" t="n">
        <v>32641</v>
      </c>
      <c r="B813" t="inlineStr">
        <is>
          <t>欣銓一</t>
        </is>
      </c>
      <c r="C813" t="n">
        <v>153</v>
      </c>
      <c r="D813" t="n">
        <v>95.3</v>
      </c>
    </row>
    <row r="814">
      <c r="A814" t="n">
        <v>32681</v>
      </c>
      <c r="B814" t="inlineStr">
        <is>
          <t>海德威一</t>
        </is>
      </c>
      <c r="C814" t="n">
        <v>133.35</v>
      </c>
      <c r="D814" t="n">
        <v>99.7</v>
      </c>
    </row>
    <row r="815">
      <c r="A815" t="n">
        <v>32711</v>
      </c>
      <c r="B815" t="inlineStr">
        <is>
          <t>其樂一</t>
        </is>
      </c>
      <c r="C815" t="n">
        <v>203</v>
      </c>
      <c r="D815" t="n">
        <v>105</v>
      </c>
    </row>
    <row r="816">
      <c r="A816" t="n">
        <v>32712</v>
      </c>
      <c r="B816" t="inlineStr">
        <is>
          <t>其樂二</t>
        </is>
      </c>
      <c r="C816" t="n">
        <v>149.2</v>
      </c>
      <c r="D816" t="n">
        <v>90</v>
      </c>
    </row>
    <row r="817">
      <c r="A817" t="n">
        <v>32721</v>
      </c>
      <c r="B817" t="inlineStr">
        <is>
          <t>東碩一</t>
        </is>
      </c>
      <c r="C817" t="n">
        <v>137.95</v>
      </c>
      <c r="D817" t="n">
        <v>98</v>
      </c>
    </row>
    <row r="818">
      <c r="A818" t="n">
        <v>32722</v>
      </c>
      <c r="B818" t="inlineStr">
        <is>
          <t>東碩二</t>
        </is>
      </c>
      <c r="C818" t="n">
        <v>150</v>
      </c>
      <c r="D818" t="n">
        <v>98</v>
      </c>
    </row>
    <row r="819">
      <c r="A819" t="n">
        <v>32723</v>
      </c>
      <c r="B819" t="inlineStr">
        <is>
          <t>東碩三</t>
        </is>
      </c>
      <c r="C819" t="n">
        <v>111.55</v>
      </c>
      <c r="D819" t="n">
        <v>68.40000000000001</v>
      </c>
    </row>
    <row r="820">
      <c r="A820" t="n">
        <v>32841</v>
      </c>
      <c r="B820" t="inlineStr">
        <is>
          <t>太普一</t>
        </is>
      </c>
      <c r="C820" t="n">
        <v>114</v>
      </c>
      <c r="D820" t="n">
        <v>98</v>
      </c>
    </row>
    <row r="821">
      <c r="A821" t="n">
        <v>32842</v>
      </c>
      <c r="B821" t="inlineStr">
        <is>
          <t>太普二</t>
        </is>
      </c>
      <c r="C821" t="n">
        <v>124.65</v>
      </c>
      <c r="D821" t="n">
        <v>100.2</v>
      </c>
    </row>
    <row r="822">
      <c r="A822" t="n">
        <v>32843</v>
      </c>
      <c r="B822" t="inlineStr">
        <is>
          <t>太普高三</t>
        </is>
      </c>
      <c r="C822" t="n">
        <v>121</v>
      </c>
      <c r="D822" t="n">
        <v>91.55</v>
      </c>
      <c r="E822" t="inlineStr">
        <is>
          <t>L</t>
        </is>
      </c>
      <c r="F822" s="208" t="n">
        <v>-0.005431830526887562</v>
      </c>
    </row>
    <row r="823">
      <c r="A823" t="n">
        <v>32881</v>
      </c>
      <c r="B823" t="inlineStr">
        <is>
          <t>點晶一</t>
        </is>
      </c>
      <c r="C823" t="n">
        <v>108.05</v>
      </c>
      <c r="D823" t="n">
        <v>97</v>
      </c>
    </row>
    <row r="824">
      <c r="A824" t="n">
        <v>32891</v>
      </c>
      <c r="B824" t="inlineStr">
        <is>
          <t>宜特一</t>
        </is>
      </c>
      <c r="C824" t="n">
        <v>209</v>
      </c>
      <c r="D824" t="n">
        <v>101.8</v>
      </c>
    </row>
    <row r="825">
      <c r="A825" t="n">
        <v>32892</v>
      </c>
      <c r="B825" t="inlineStr">
        <is>
          <t>宜特二</t>
        </is>
      </c>
      <c r="C825" t="n">
        <v>120.5</v>
      </c>
      <c r="D825" t="n">
        <v>99.2</v>
      </c>
    </row>
    <row r="826">
      <c r="A826" t="n">
        <v>32893</v>
      </c>
      <c r="B826" t="inlineStr">
        <is>
          <t>宜特三</t>
        </is>
      </c>
      <c r="C826" t="n">
        <v>145.15</v>
      </c>
      <c r="D826" t="n">
        <v>100.15</v>
      </c>
    </row>
    <row r="827">
      <c r="A827" t="n">
        <v>32894</v>
      </c>
      <c r="B827" t="inlineStr">
        <is>
          <t>宜特四</t>
        </is>
      </c>
      <c r="C827" t="n">
        <v>123</v>
      </c>
      <c r="D827" t="n">
        <v>93.45</v>
      </c>
    </row>
    <row r="828">
      <c r="A828" t="n">
        <v>32895</v>
      </c>
      <c r="B828" t="inlineStr">
        <is>
          <t>宜特五</t>
        </is>
      </c>
      <c r="C828" t="n">
        <v>109</v>
      </c>
      <c r="D828" t="n">
        <v>85.7</v>
      </c>
    </row>
    <row r="829">
      <c r="A829" t="n">
        <v>32901</v>
      </c>
      <c r="B829" t="inlineStr">
        <is>
          <t>東浦一</t>
        </is>
      </c>
      <c r="C829" t="n">
        <v>174</v>
      </c>
      <c r="D829" t="n">
        <v>105.3</v>
      </c>
    </row>
    <row r="830">
      <c r="A830" t="n">
        <v>32902</v>
      </c>
      <c r="B830" t="inlineStr">
        <is>
          <t>東浦二</t>
        </is>
      </c>
      <c r="C830" t="n">
        <v>117.6</v>
      </c>
      <c r="D830" t="n">
        <v>99.59999999999999</v>
      </c>
    </row>
    <row r="831">
      <c r="A831" t="n">
        <v>32903</v>
      </c>
      <c r="B831" t="inlineStr">
        <is>
          <t>東浦三</t>
        </is>
      </c>
      <c r="C831" t="n">
        <v>223</v>
      </c>
      <c r="D831" t="n">
        <v>115.3</v>
      </c>
    </row>
    <row r="832">
      <c r="A832" t="n">
        <v>32941</v>
      </c>
      <c r="B832" t="inlineStr">
        <is>
          <t>英濟一</t>
        </is>
      </c>
      <c r="C832" t="n">
        <v>102</v>
      </c>
      <c r="D832" t="n">
        <v>63.2</v>
      </c>
    </row>
    <row r="833">
      <c r="A833" t="n">
        <v>32942</v>
      </c>
      <c r="B833" t="inlineStr">
        <is>
          <t>英濟二</t>
        </is>
      </c>
      <c r="C833" t="n">
        <v>123</v>
      </c>
      <c r="D833" t="n">
        <v>98.8</v>
      </c>
    </row>
    <row r="834">
      <c r="A834" t="n">
        <v>32961</v>
      </c>
      <c r="B834" t="inlineStr">
        <is>
          <t>勝德一</t>
        </is>
      </c>
      <c r="C834" t="n">
        <v>190</v>
      </c>
      <c r="D834" t="n">
        <v>96</v>
      </c>
    </row>
    <row r="835">
      <c r="A835" t="n">
        <v>32991</v>
      </c>
      <c r="B835" t="inlineStr">
        <is>
          <t>帛漢一</t>
        </is>
      </c>
      <c r="C835" t="n">
        <v>108</v>
      </c>
      <c r="D835" t="n">
        <v>89</v>
      </c>
    </row>
    <row r="836">
      <c r="A836" t="n">
        <v>32992</v>
      </c>
      <c r="B836" t="inlineStr">
        <is>
          <t>帛漢二</t>
        </is>
      </c>
      <c r="C836" t="n">
        <v>167</v>
      </c>
      <c r="D836" t="n">
        <v>104</v>
      </c>
    </row>
    <row r="837">
      <c r="A837" t="n">
        <v>32993</v>
      </c>
      <c r="B837" t="inlineStr">
        <is>
          <t>帛漢三</t>
        </is>
      </c>
      <c r="C837" t="n">
        <v>122</v>
      </c>
      <c r="D837" t="n">
        <v>98</v>
      </c>
    </row>
    <row r="838">
      <c r="A838" t="n">
        <v>32994</v>
      </c>
      <c r="B838" t="inlineStr">
        <is>
          <t>帛漢四</t>
        </is>
      </c>
      <c r="C838" t="n">
        <v>206</v>
      </c>
      <c r="D838" t="n">
        <v>105</v>
      </c>
    </row>
    <row r="839">
      <c r="A839" t="n">
        <v>33031</v>
      </c>
      <c r="B839" t="inlineStr">
        <is>
          <t>岱稜一</t>
        </is>
      </c>
      <c r="C839" t="n">
        <v>124</v>
      </c>
      <c r="D839" t="n">
        <v>83</v>
      </c>
    </row>
    <row r="840">
      <c r="A840" t="n">
        <v>33032</v>
      </c>
      <c r="B840" t="inlineStr">
        <is>
          <t>岱稜二</t>
        </is>
      </c>
      <c r="C840" t="n">
        <v>178</v>
      </c>
      <c r="D840" t="n">
        <v>100</v>
      </c>
    </row>
    <row r="841">
      <c r="A841" t="n">
        <v>33033</v>
      </c>
      <c r="B841" t="inlineStr">
        <is>
          <t>岱稜三</t>
        </is>
      </c>
      <c r="C841" t="n">
        <v>213</v>
      </c>
      <c r="D841" t="n">
        <v>103.05</v>
      </c>
    </row>
    <row r="842">
      <c r="A842" t="n">
        <v>33034</v>
      </c>
      <c r="B842" t="inlineStr">
        <is>
          <t>岱稜四</t>
        </is>
      </c>
      <c r="C842" t="n">
        <v>213</v>
      </c>
      <c r="D842" t="n">
        <v>103</v>
      </c>
    </row>
    <row r="843">
      <c r="A843" t="n">
        <v>33035</v>
      </c>
      <c r="B843" t="inlineStr">
        <is>
          <t>岱稜五</t>
        </is>
      </c>
      <c r="C843" t="n">
        <v>113</v>
      </c>
      <c r="D843" t="n">
        <v>95</v>
      </c>
    </row>
    <row r="844">
      <c r="A844" t="n">
        <v>33051</v>
      </c>
      <c r="B844" t="inlineStr">
        <is>
          <t>昇貿一</t>
        </is>
      </c>
      <c r="C844" t="n">
        <v>153</v>
      </c>
      <c r="D844" t="n">
        <v>84.5</v>
      </c>
    </row>
    <row r="845">
      <c r="A845" t="n">
        <v>33052</v>
      </c>
      <c r="B845" t="inlineStr">
        <is>
          <t>昇貿二</t>
        </is>
      </c>
      <c r="C845" t="n">
        <v>117</v>
      </c>
      <c r="D845" t="n">
        <v>95</v>
      </c>
    </row>
    <row r="846">
      <c r="A846" t="n">
        <v>33053</v>
      </c>
      <c r="B846" t="inlineStr">
        <is>
          <t>昇貿三</t>
        </is>
      </c>
      <c r="C846" t="n">
        <v>278</v>
      </c>
      <c r="D846" t="n">
        <v>110.9</v>
      </c>
    </row>
    <row r="847">
      <c r="A847" t="n">
        <v>33054</v>
      </c>
      <c r="B847" t="inlineStr">
        <is>
          <t>昇貿四</t>
        </is>
      </c>
      <c r="C847" t="n">
        <v>268</v>
      </c>
      <c r="D847" t="n">
        <v>105.9</v>
      </c>
    </row>
    <row r="848">
      <c r="A848" t="n">
        <v>33055</v>
      </c>
      <c r="B848" t="inlineStr">
        <is>
          <t>昇貿五</t>
        </is>
      </c>
      <c r="C848" t="n">
        <v>214</v>
      </c>
      <c r="D848" t="n">
        <v>99.5</v>
      </c>
    </row>
    <row r="849">
      <c r="A849" t="n">
        <v>33081</v>
      </c>
      <c r="B849" t="inlineStr">
        <is>
          <t>聯德一</t>
        </is>
      </c>
      <c r="C849" t="n">
        <v>193</v>
      </c>
      <c r="D849" t="n">
        <v>102.75</v>
      </c>
    </row>
    <row r="850">
      <c r="A850" t="n">
        <v>33082</v>
      </c>
      <c r="B850" t="inlineStr">
        <is>
          <t>聯德二</t>
        </is>
      </c>
      <c r="C850" t="n">
        <v>160</v>
      </c>
      <c r="D850" t="n">
        <v>99.2</v>
      </c>
    </row>
    <row r="851">
      <c r="A851" t="n">
        <v>33101</v>
      </c>
      <c r="B851" t="inlineStr">
        <is>
          <t>佳穎一</t>
        </is>
      </c>
      <c r="C851" t="n">
        <v>489</v>
      </c>
      <c r="D851" t="n">
        <v>107.8</v>
      </c>
    </row>
    <row r="852">
      <c r="A852" t="n">
        <v>33121</v>
      </c>
      <c r="B852" t="inlineStr">
        <is>
          <t>弘憶股一</t>
        </is>
      </c>
      <c r="C852" t="n">
        <v>139</v>
      </c>
      <c r="D852" t="n">
        <v>92.05</v>
      </c>
    </row>
    <row r="853">
      <c r="A853" t="n">
        <v>33131</v>
      </c>
      <c r="B853" t="inlineStr">
        <is>
          <t>斐成一</t>
        </is>
      </c>
      <c r="C853" t="n">
        <v>117</v>
      </c>
      <c r="D853" t="n">
        <v>32.9</v>
      </c>
    </row>
    <row r="854">
      <c r="A854" t="n">
        <v>33132</v>
      </c>
      <c r="B854" t="inlineStr">
        <is>
          <t>斐成二</t>
        </is>
      </c>
      <c r="C854" t="n">
        <v>126</v>
      </c>
      <c r="D854" t="n">
        <v>99.3</v>
      </c>
    </row>
    <row r="855">
      <c r="A855" t="n">
        <v>33133</v>
      </c>
      <c r="B855" t="inlineStr">
        <is>
          <t>斐成三</t>
        </is>
      </c>
      <c r="C855" t="n">
        <v>134.9</v>
      </c>
      <c r="D855" t="n">
        <v>100.8</v>
      </c>
    </row>
    <row r="856">
      <c r="A856" t="n">
        <v>33221</v>
      </c>
      <c r="B856" t="inlineStr">
        <is>
          <t>建舜一</t>
        </is>
      </c>
      <c r="C856" t="n">
        <v>135</v>
      </c>
      <c r="D856" t="n">
        <v>99.7</v>
      </c>
    </row>
    <row r="857">
      <c r="A857" t="n">
        <v>33222</v>
      </c>
      <c r="B857" t="inlineStr">
        <is>
          <t>建舜電二</t>
        </is>
      </c>
      <c r="C857" t="n">
        <v>120.9</v>
      </c>
      <c r="D857" t="n">
        <v>99.75</v>
      </c>
    </row>
    <row r="858">
      <c r="A858" t="n">
        <v>33223</v>
      </c>
      <c r="B858" t="inlineStr">
        <is>
          <t>建舜電三</t>
        </is>
      </c>
      <c r="C858" t="n">
        <v>199</v>
      </c>
      <c r="D858" t="n">
        <v>110</v>
      </c>
    </row>
    <row r="859">
      <c r="A859" t="n">
        <v>33224</v>
      </c>
      <c r="B859" t="inlineStr">
        <is>
          <t>建舜電四</t>
        </is>
      </c>
      <c r="C859" t="n">
        <v>130</v>
      </c>
      <c r="D859" t="n">
        <v>92</v>
      </c>
    </row>
    <row r="860">
      <c r="A860" t="n">
        <v>33225</v>
      </c>
      <c r="B860" t="inlineStr">
        <is>
          <t>建舜電五</t>
        </is>
      </c>
      <c r="C860" t="n">
        <v>111.25</v>
      </c>
      <c r="D860" t="n">
        <v>94.09999999999999</v>
      </c>
    </row>
    <row r="861">
      <c r="A861" t="n">
        <v>33231</v>
      </c>
      <c r="B861" t="inlineStr">
        <is>
          <t>加百裕一</t>
        </is>
      </c>
      <c r="C861" t="n">
        <v>135.2</v>
      </c>
      <c r="D861" t="n">
        <v>91.5</v>
      </c>
    </row>
    <row r="862">
      <c r="A862" t="n">
        <v>33232</v>
      </c>
      <c r="B862" t="inlineStr">
        <is>
          <t>加百裕二</t>
        </is>
      </c>
      <c r="C862" t="n">
        <v>108.3</v>
      </c>
      <c r="D862" t="n">
        <v>82</v>
      </c>
    </row>
    <row r="863">
      <c r="A863" t="n">
        <v>33233</v>
      </c>
      <c r="B863" t="inlineStr">
        <is>
          <t>加百裕三</t>
        </is>
      </c>
      <c r="C863" t="n">
        <v>172</v>
      </c>
      <c r="D863" t="n">
        <v>99</v>
      </c>
    </row>
    <row r="864">
      <c r="A864" t="n">
        <v>33241</v>
      </c>
      <c r="B864" t="inlineStr">
        <is>
          <t>雙鴻一</t>
        </is>
      </c>
      <c r="C864" t="n">
        <v>174</v>
      </c>
      <c r="D864" t="n">
        <v>99.7</v>
      </c>
    </row>
    <row r="865">
      <c r="A865" t="n">
        <v>33242</v>
      </c>
      <c r="B865" t="inlineStr">
        <is>
          <t>雙鴻二</t>
        </is>
      </c>
      <c r="C865" t="n">
        <v>243</v>
      </c>
      <c r="D865" t="n">
        <v>110</v>
      </c>
    </row>
    <row r="866">
      <c r="A866" t="n">
        <v>33243</v>
      </c>
      <c r="B866" t="inlineStr">
        <is>
          <t>雙鴻三</t>
        </is>
      </c>
      <c r="C866" t="n">
        <v>190</v>
      </c>
      <c r="D866" t="n">
        <v>107.3</v>
      </c>
    </row>
    <row r="867">
      <c r="A867" t="n">
        <v>33244</v>
      </c>
      <c r="B867" t="inlineStr">
        <is>
          <t>雙鴻四</t>
        </is>
      </c>
      <c r="C867" t="n">
        <v>500</v>
      </c>
      <c r="D867" t="n">
        <v>100.8</v>
      </c>
    </row>
    <row r="868">
      <c r="A868" t="n">
        <v>33245</v>
      </c>
      <c r="B868" t="inlineStr">
        <is>
          <t>雙鴻五</t>
        </is>
      </c>
      <c r="C868" t="n">
        <v>180</v>
      </c>
      <c r="D868" t="n">
        <v>105</v>
      </c>
    </row>
    <row r="869">
      <c r="A869" t="n">
        <v>33246</v>
      </c>
      <c r="B869" t="inlineStr">
        <is>
          <t>雙鴻六</t>
        </is>
      </c>
      <c r="C869" t="n">
        <v>149</v>
      </c>
      <c r="D869" t="n">
        <v>110.2</v>
      </c>
      <c r="F869" s="208" t="inlineStr"/>
    </row>
    <row r="870">
      <c r="A870" t="n">
        <v>33247</v>
      </c>
      <c r="B870" t="inlineStr">
        <is>
          <t>雙鴻七</t>
        </is>
      </c>
      <c r="C870" t="n">
        <v>148.5</v>
      </c>
      <c r="D870" t="n">
        <v>130</v>
      </c>
      <c r="F870" s="208" t="inlineStr"/>
    </row>
    <row r="871">
      <c r="A871" t="n">
        <v>33251</v>
      </c>
      <c r="B871" t="inlineStr">
        <is>
          <t>旭品一</t>
        </is>
      </c>
      <c r="C871" t="n">
        <v>162</v>
      </c>
      <c r="D871" t="n">
        <v>107</v>
      </c>
    </row>
    <row r="872">
      <c r="A872" t="n">
        <v>33252</v>
      </c>
      <c r="B872" t="inlineStr">
        <is>
          <t>旭品二</t>
        </is>
      </c>
      <c r="C872" t="n">
        <v>140</v>
      </c>
      <c r="D872" t="n">
        <v>99.75</v>
      </c>
    </row>
    <row r="873">
      <c r="A873" t="n">
        <v>33253</v>
      </c>
      <c r="B873" t="inlineStr">
        <is>
          <t>旭品三</t>
        </is>
      </c>
      <c r="C873" t="n">
        <v>236</v>
      </c>
      <c r="D873" t="n">
        <v>115.3</v>
      </c>
    </row>
    <row r="874">
      <c r="A874" t="n">
        <v>33381</v>
      </c>
      <c r="B874" t="inlineStr">
        <is>
          <t>泰碩一</t>
        </is>
      </c>
      <c r="C874" t="n">
        <v>118</v>
      </c>
      <c r="D874" t="n">
        <v>98</v>
      </c>
    </row>
    <row r="875">
      <c r="A875" t="n">
        <v>33382</v>
      </c>
      <c r="B875" t="inlineStr">
        <is>
          <t>泰碩二</t>
        </is>
      </c>
      <c r="C875" t="n">
        <v>138</v>
      </c>
      <c r="D875" t="n">
        <v>100</v>
      </c>
    </row>
    <row r="876">
      <c r="A876" t="n">
        <v>33391</v>
      </c>
      <c r="B876" t="inlineStr">
        <is>
          <t>泰谷一</t>
        </is>
      </c>
      <c r="C876" t="n">
        <v>148.7</v>
      </c>
      <c r="D876" t="n">
        <v>45.1</v>
      </c>
    </row>
    <row r="877">
      <c r="A877" t="n">
        <v>33392</v>
      </c>
      <c r="B877" t="inlineStr">
        <is>
          <t>泰谷二</t>
        </is>
      </c>
      <c r="C877" t="n">
        <v>106</v>
      </c>
      <c r="D877" t="n">
        <v>96</v>
      </c>
    </row>
    <row r="878">
      <c r="A878" t="n">
        <v>33393</v>
      </c>
      <c r="B878" t="inlineStr">
        <is>
          <t>泰谷三</t>
        </is>
      </c>
      <c r="C878" t="n">
        <v>109</v>
      </c>
      <c r="D878" t="n">
        <v>96.84999999999999</v>
      </c>
    </row>
    <row r="879">
      <c r="A879" t="n">
        <v>33394</v>
      </c>
      <c r="B879" t="inlineStr">
        <is>
          <t>泰谷四</t>
        </is>
      </c>
      <c r="C879" t="n">
        <v>261</v>
      </c>
      <c r="D879" t="n">
        <v>100</v>
      </c>
    </row>
    <row r="880">
      <c r="A880" t="n">
        <v>33461</v>
      </c>
      <c r="B880" t="inlineStr">
        <is>
          <t>麗清一</t>
        </is>
      </c>
      <c r="C880" t="n">
        <v>106.5</v>
      </c>
      <c r="D880" t="n">
        <v>94.95</v>
      </c>
    </row>
    <row r="881">
      <c r="A881" t="n">
        <v>33462</v>
      </c>
      <c r="B881" t="inlineStr">
        <is>
          <t>麗清二</t>
        </is>
      </c>
      <c r="C881" t="n">
        <v>201</v>
      </c>
      <c r="D881" t="n">
        <v>90</v>
      </c>
    </row>
    <row r="882">
      <c r="A882" t="n">
        <v>33463</v>
      </c>
      <c r="B882" t="inlineStr">
        <is>
          <t>麗清三</t>
        </is>
      </c>
      <c r="C882" t="n">
        <v>142</v>
      </c>
      <c r="D882" t="n">
        <v>96.95</v>
      </c>
    </row>
    <row r="883">
      <c r="A883" t="n">
        <v>33464</v>
      </c>
      <c r="B883" t="inlineStr">
        <is>
          <t>麗清四</t>
        </is>
      </c>
      <c r="C883" t="n">
        <v>124.95</v>
      </c>
      <c r="D883" t="n">
        <v>93</v>
      </c>
    </row>
    <row r="884">
      <c r="A884" t="n">
        <v>33465</v>
      </c>
      <c r="B884" t="inlineStr">
        <is>
          <t>麗清五</t>
        </is>
      </c>
      <c r="C884" t="n">
        <v>140.8</v>
      </c>
      <c r="D884" t="n">
        <v>98.05</v>
      </c>
    </row>
    <row r="885">
      <c r="A885" t="n">
        <v>33466</v>
      </c>
      <c r="B885" t="inlineStr">
        <is>
          <t>麗清六</t>
        </is>
      </c>
      <c r="C885" t="n">
        <v>104.7</v>
      </c>
      <c r="D885" t="n">
        <v>93.55</v>
      </c>
    </row>
    <row r="886">
      <c r="A886" t="n">
        <v>33561</v>
      </c>
      <c r="B886" t="inlineStr">
        <is>
          <t>奇偶一</t>
        </is>
      </c>
      <c r="C886" t="n">
        <v>138</v>
      </c>
      <c r="D886" t="n">
        <v>99.40000000000001</v>
      </c>
    </row>
    <row r="887">
      <c r="A887" t="n">
        <v>33571</v>
      </c>
      <c r="B887" t="inlineStr">
        <is>
          <t>臺慶科一</t>
        </is>
      </c>
      <c r="C887" t="n">
        <v>275</v>
      </c>
      <c r="D887" t="n">
        <v>100</v>
      </c>
      <c r="E887" t="inlineStr">
        <is>
          <t>H</t>
        </is>
      </c>
      <c r="F887" s="208" t="n">
        <v>0.4864864864864865</v>
      </c>
    </row>
    <row r="888">
      <c r="A888" t="n">
        <v>33621</v>
      </c>
      <c r="B888" t="inlineStr">
        <is>
          <t>先進光一</t>
        </is>
      </c>
      <c r="C888" t="n">
        <v>129.9</v>
      </c>
      <c r="D888" t="n">
        <v>98</v>
      </c>
    </row>
    <row r="889">
      <c r="A889" t="n">
        <v>33631</v>
      </c>
      <c r="B889" t="inlineStr">
        <is>
          <t>上詮一</t>
        </is>
      </c>
      <c r="C889" t="n">
        <v>186</v>
      </c>
      <c r="D889" t="n">
        <v>107</v>
      </c>
    </row>
    <row r="890">
      <c r="A890" t="n">
        <v>33632</v>
      </c>
      <c r="B890" t="inlineStr">
        <is>
          <t>上詮二</t>
        </is>
      </c>
      <c r="C890" t="n">
        <v>200</v>
      </c>
      <c r="D890" t="n">
        <v>96.5</v>
      </c>
    </row>
    <row r="891">
      <c r="A891" t="n">
        <v>33761</v>
      </c>
      <c r="B891" t="inlineStr">
        <is>
          <t>日興一</t>
        </is>
      </c>
      <c r="C891" t="n">
        <v>186</v>
      </c>
      <c r="D891" t="n">
        <v>91.15000000000001</v>
      </c>
    </row>
    <row r="892">
      <c r="A892" t="n">
        <v>33762</v>
      </c>
      <c r="B892" t="inlineStr">
        <is>
          <t>日興二</t>
        </is>
      </c>
      <c r="C892" t="n">
        <v>155</v>
      </c>
      <c r="D892" t="n">
        <v>99.59999999999999</v>
      </c>
    </row>
    <row r="893">
      <c r="A893" t="n">
        <v>33763</v>
      </c>
      <c r="B893" t="inlineStr">
        <is>
          <t>新日興三</t>
        </is>
      </c>
      <c r="C893" t="n">
        <v>151</v>
      </c>
      <c r="D893" t="n">
        <v>110</v>
      </c>
    </row>
    <row r="894">
      <c r="A894" t="n">
        <v>33801</v>
      </c>
      <c r="B894" t="inlineStr">
        <is>
          <t>明泰一</t>
        </is>
      </c>
      <c r="C894" t="n">
        <v>159</v>
      </c>
      <c r="D894" t="n">
        <v>84.5</v>
      </c>
    </row>
    <row r="895">
      <c r="A895" t="n">
        <v>33802</v>
      </c>
      <c r="B895" t="inlineStr">
        <is>
          <t>明泰二</t>
        </is>
      </c>
      <c r="C895" t="n">
        <v>141.2</v>
      </c>
      <c r="D895" t="n">
        <v>99.15000000000001</v>
      </c>
    </row>
    <row r="896">
      <c r="A896" t="n">
        <v>33831</v>
      </c>
      <c r="B896" t="inlineStr">
        <is>
          <t>新世紀一</t>
        </is>
      </c>
      <c r="C896" t="n">
        <v>216</v>
      </c>
      <c r="D896" t="n">
        <v>102.3</v>
      </c>
    </row>
    <row r="897">
      <c r="A897" t="n">
        <v>33832</v>
      </c>
      <c r="B897" t="inlineStr">
        <is>
          <t>新世紀二</t>
        </is>
      </c>
      <c r="C897" t="n">
        <v>223</v>
      </c>
      <c r="D897" t="n">
        <v>90</v>
      </c>
    </row>
    <row r="898">
      <c r="A898" t="n">
        <v>33833</v>
      </c>
      <c r="B898" t="inlineStr">
        <is>
          <t>新世紀三</t>
        </is>
      </c>
      <c r="C898" t="n">
        <v>290</v>
      </c>
      <c r="D898" t="n">
        <v>95</v>
      </c>
    </row>
    <row r="899">
      <c r="A899" t="n">
        <v>33834</v>
      </c>
      <c r="B899" t="inlineStr">
        <is>
          <t>新世紀四</t>
        </is>
      </c>
      <c r="C899" t="n">
        <v>129.5</v>
      </c>
      <c r="D899" t="n">
        <v>88.5</v>
      </c>
    </row>
    <row r="900">
      <c r="A900" t="n">
        <v>33835</v>
      </c>
      <c r="B900" t="inlineStr">
        <is>
          <t>新世紀五</t>
        </is>
      </c>
      <c r="C900" t="n">
        <v>108</v>
      </c>
      <c r="D900" t="n">
        <v>98</v>
      </c>
    </row>
    <row r="901">
      <c r="A901" t="n">
        <v>33881</v>
      </c>
      <c r="B901" t="inlineStr">
        <is>
          <t>崇越電一</t>
        </is>
      </c>
      <c r="C901" t="n">
        <v>202</v>
      </c>
      <c r="D901" t="n">
        <v>101.5</v>
      </c>
      <c r="E901" t="inlineStr">
        <is>
          <t>H</t>
        </is>
      </c>
      <c r="F901" s="208" t="n">
        <v>0.06878306878306878</v>
      </c>
    </row>
    <row r="902">
      <c r="A902" t="n">
        <v>33901</v>
      </c>
      <c r="B902" t="inlineStr">
        <is>
          <t>旭軟一</t>
        </is>
      </c>
      <c r="C902" t="n">
        <v>155</v>
      </c>
      <c r="D902" t="n">
        <v>104.8</v>
      </c>
    </row>
    <row r="903">
      <c r="A903" t="n">
        <v>33902</v>
      </c>
      <c r="B903" t="inlineStr">
        <is>
          <t>旭軟二</t>
        </is>
      </c>
      <c r="C903" t="n">
        <v>145</v>
      </c>
      <c r="D903" t="n">
        <v>105.1</v>
      </c>
      <c r="E903" t="inlineStr">
        <is>
          <t>H</t>
        </is>
      </c>
      <c r="F903" s="208" t="n">
        <v>0.07407407407407407</v>
      </c>
    </row>
    <row r="904">
      <c r="A904" t="n">
        <v>34021</v>
      </c>
      <c r="B904" t="inlineStr">
        <is>
          <t>漢科一</t>
        </is>
      </c>
      <c r="C904" t="n">
        <v>121</v>
      </c>
      <c r="D904" t="n">
        <v>45.9</v>
      </c>
    </row>
    <row r="905">
      <c r="A905" t="n">
        <v>34131</v>
      </c>
      <c r="B905" t="inlineStr">
        <is>
          <t>京鼎一</t>
        </is>
      </c>
      <c r="C905" t="n">
        <v>120</v>
      </c>
      <c r="D905" t="n">
        <v>99</v>
      </c>
    </row>
    <row r="906">
      <c r="A906" t="n">
        <v>34132</v>
      </c>
      <c r="B906" t="inlineStr">
        <is>
          <t>京鼎二</t>
        </is>
      </c>
      <c r="C906" t="n">
        <v>243</v>
      </c>
      <c r="D906" t="n">
        <v>105.1</v>
      </c>
    </row>
    <row r="907">
      <c r="A907" t="n">
        <v>34161</v>
      </c>
      <c r="B907" t="inlineStr">
        <is>
          <t>融程一</t>
        </is>
      </c>
      <c r="C907" t="n">
        <v>132</v>
      </c>
      <c r="D907" t="n">
        <v>100.5</v>
      </c>
    </row>
    <row r="908">
      <c r="A908" t="n">
        <v>34162</v>
      </c>
      <c r="B908" t="inlineStr">
        <is>
          <t>融程電二</t>
        </is>
      </c>
      <c r="C908" t="n">
        <v>212</v>
      </c>
      <c r="D908" t="n">
        <v>108</v>
      </c>
    </row>
    <row r="909">
      <c r="A909" t="n">
        <v>34163</v>
      </c>
      <c r="B909" t="inlineStr">
        <is>
          <t>融程電三</t>
        </is>
      </c>
      <c r="C909" t="n">
        <v>165</v>
      </c>
      <c r="D909" t="n">
        <v>107.3</v>
      </c>
    </row>
    <row r="910">
      <c r="A910" t="n">
        <v>34191</v>
      </c>
      <c r="B910" t="inlineStr">
        <is>
          <t xml:space="preserve">譁裕一    </t>
        </is>
      </c>
      <c r="C910" t="n">
        <v>145</v>
      </c>
      <c r="D910" t="n">
        <v>94.5</v>
      </c>
    </row>
    <row r="911">
      <c r="A911" t="n">
        <v>34192</v>
      </c>
      <c r="B911" t="inlineStr">
        <is>
          <t>譁裕二</t>
        </is>
      </c>
      <c r="C911" t="n">
        <v>127.9</v>
      </c>
      <c r="D911" t="n">
        <v>99.59999999999999</v>
      </c>
    </row>
    <row r="912">
      <c r="A912" t="n">
        <v>34311</v>
      </c>
      <c r="B912" t="inlineStr">
        <is>
          <t>長天一</t>
        </is>
      </c>
      <c r="C912" t="n">
        <v>141.3</v>
      </c>
      <c r="D912" t="n">
        <v>68</v>
      </c>
    </row>
    <row r="913">
      <c r="A913" t="n">
        <v>34341</v>
      </c>
      <c r="B913" t="inlineStr">
        <is>
          <t>哲固一</t>
        </is>
      </c>
      <c r="C913" t="n">
        <v>219</v>
      </c>
      <c r="D913" t="n">
        <v>107</v>
      </c>
    </row>
    <row r="914">
      <c r="A914" t="n">
        <v>34381</v>
      </c>
      <c r="B914" t="inlineStr">
        <is>
          <t>類比一</t>
        </is>
      </c>
      <c r="C914" t="n">
        <v>114.5</v>
      </c>
      <c r="D914" t="n">
        <v>95</v>
      </c>
    </row>
    <row r="915">
      <c r="A915" t="n">
        <v>34382</v>
      </c>
      <c r="B915" t="inlineStr">
        <is>
          <t>類比二</t>
        </is>
      </c>
      <c r="C915" t="n">
        <v>129.5</v>
      </c>
      <c r="D915" t="n">
        <v>102.05</v>
      </c>
    </row>
    <row r="916">
      <c r="A916" t="n">
        <v>34521</v>
      </c>
      <c r="B916" t="inlineStr">
        <is>
          <t>益通一</t>
        </is>
      </c>
      <c r="C916" t="n">
        <v>118.05</v>
      </c>
      <c r="D916" t="n">
        <v>69</v>
      </c>
    </row>
    <row r="917">
      <c r="A917" t="n">
        <v>34522</v>
      </c>
      <c r="B917" t="inlineStr">
        <is>
          <t>益通二</t>
        </is>
      </c>
      <c r="C917" t="n">
        <v>151</v>
      </c>
      <c r="D917" t="n">
        <v>83</v>
      </c>
    </row>
    <row r="918">
      <c r="A918" t="n">
        <v>34523</v>
      </c>
      <c r="B918" t="inlineStr">
        <is>
          <t>益通三</t>
        </is>
      </c>
      <c r="C918" t="n">
        <v>110</v>
      </c>
      <c r="D918" t="n">
        <v>65</v>
      </c>
    </row>
    <row r="919">
      <c r="A919" t="n">
        <v>34541</v>
      </c>
      <c r="B919" t="inlineStr">
        <is>
          <t>晶睿一</t>
        </is>
      </c>
      <c r="C919" t="n">
        <v>237</v>
      </c>
      <c r="D919" t="n">
        <v>102.4</v>
      </c>
    </row>
    <row r="920">
      <c r="A920" t="n">
        <v>34651</v>
      </c>
      <c r="B920" t="inlineStr">
        <is>
          <t xml:space="preserve">祥業一 </t>
        </is>
      </c>
      <c r="C920" t="n">
        <v>179</v>
      </c>
      <c r="D920" t="n">
        <v>107</v>
      </c>
    </row>
    <row r="921">
      <c r="A921" t="n">
        <v>34652</v>
      </c>
      <c r="B921" t="inlineStr">
        <is>
          <t>祥業二</t>
        </is>
      </c>
      <c r="C921" t="n">
        <v>111</v>
      </c>
      <c r="D921" t="n">
        <v>99.65000000000001</v>
      </c>
    </row>
    <row r="922">
      <c r="A922" t="n">
        <v>34653</v>
      </c>
      <c r="B922" t="inlineStr">
        <is>
          <t>進泰電子三</t>
        </is>
      </c>
      <c r="C922" t="n">
        <v>125.8</v>
      </c>
      <c r="D922" t="n">
        <v>98.90000000000001</v>
      </c>
    </row>
    <row r="923">
      <c r="A923" t="n">
        <v>34654</v>
      </c>
      <c r="B923" t="inlineStr">
        <is>
          <t>進泰電子四</t>
        </is>
      </c>
      <c r="C923" t="n">
        <v>107</v>
      </c>
      <c r="D923" t="n">
        <v>97.09999999999999</v>
      </c>
    </row>
    <row r="924">
      <c r="A924" t="n">
        <v>34791</v>
      </c>
      <c r="B924" t="inlineStr">
        <is>
          <t>安勤一</t>
        </is>
      </c>
      <c r="C924" t="n">
        <v>140</v>
      </c>
      <c r="D924" t="n">
        <v>104</v>
      </c>
    </row>
    <row r="925">
      <c r="A925" t="n">
        <v>34792</v>
      </c>
      <c r="B925" t="inlineStr">
        <is>
          <t>安勤二</t>
        </is>
      </c>
      <c r="C925" t="n">
        <v>135</v>
      </c>
      <c r="D925" t="n">
        <v>93.09999999999999</v>
      </c>
    </row>
    <row r="926">
      <c r="A926" t="n">
        <v>34793</v>
      </c>
      <c r="B926" t="inlineStr">
        <is>
          <t>安勤三</t>
        </is>
      </c>
      <c r="C926" t="n">
        <v>133</v>
      </c>
      <c r="D926" t="n">
        <v>100.5</v>
      </c>
      <c r="E926" t="inlineStr">
        <is>
          <t>H</t>
        </is>
      </c>
      <c r="F926" s="208" t="n">
        <v>0.08130081300813008</v>
      </c>
    </row>
    <row r="927">
      <c r="A927" t="n">
        <v>34831</v>
      </c>
      <c r="B927" t="inlineStr">
        <is>
          <t>力致一</t>
        </is>
      </c>
      <c r="C927" t="n">
        <v>245</v>
      </c>
      <c r="D927" t="n">
        <v>106.5</v>
      </c>
    </row>
    <row r="928">
      <c r="A928" t="n">
        <v>34832</v>
      </c>
      <c r="B928" t="inlineStr">
        <is>
          <t>力致二</t>
        </is>
      </c>
      <c r="C928" t="n">
        <v>169</v>
      </c>
      <c r="D928" t="n">
        <v>91</v>
      </c>
    </row>
    <row r="929">
      <c r="A929" t="n">
        <v>34833</v>
      </c>
      <c r="B929" t="inlineStr">
        <is>
          <t>力致三</t>
        </is>
      </c>
      <c r="C929" t="n">
        <v>237</v>
      </c>
      <c r="D929" t="n">
        <v>100</v>
      </c>
    </row>
    <row r="930">
      <c r="A930" t="n">
        <v>34834</v>
      </c>
      <c r="B930" t="inlineStr">
        <is>
          <t>力致四</t>
        </is>
      </c>
      <c r="C930" t="n">
        <v>154</v>
      </c>
      <c r="D930" t="n">
        <v>100.25</v>
      </c>
    </row>
    <row r="931">
      <c r="A931" t="n">
        <v>34841</v>
      </c>
      <c r="B931" t="inlineStr">
        <is>
          <t>崧騰一</t>
        </is>
      </c>
      <c r="C931" t="n">
        <v>210</v>
      </c>
      <c r="D931" t="n">
        <v>95.5</v>
      </c>
    </row>
    <row r="932">
      <c r="A932" t="n">
        <v>34842</v>
      </c>
      <c r="B932" t="inlineStr">
        <is>
          <t>崧騰二</t>
        </is>
      </c>
      <c r="C932" t="n">
        <v>135</v>
      </c>
      <c r="D932" t="n">
        <v>99.3</v>
      </c>
    </row>
    <row r="933">
      <c r="A933" t="n">
        <v>34843</v>
      </c>
      <c r="B933" t="inlineStr">
        <is>
          <t>崧騰三</t>
        </is>
      </c>
      <c r="C933" t="n">
        <v>160</v>
      </c>
      <c r="D933" t="n">
        <v>103.25</v>
      </c>
      <c r="F933" s="208" t="inlineStr"/>
    </row>
    <row r="934">
      <c r="A934" t="n">
        <v>34891</v>
      </c>
      <c r="B934" t="inlineStr">
        <is>
          <t>森寶一</t>
        </is>
      </c>
      <c r="C934" t="n">
        <v>120</v>
      </c>
      <c r="D934" t="n">
        <v>100</v>
      </c>
    </row>
    <row r="935">
      <c r="A935" t="n">
        <v>34901</v>
      </c>
      <c r="B935" t="inlineStr">
        <is>
          <t>單井一</t>
        </is>
      </c>
      <c r="C935" t="n">
        <v>172</v>
      </c>
      <c r="D935" t="n">
        <v>131</v>
      </c>
    </row>
    <row r="936">
      <c r="A936" t="n">
        <v>34911</v>
      </c>
      <c r="B936" t="inlineStr">
        <is>
          <t>昇達科一</t>
        </is>
      </c>
      <c r="C936" t="n">
        <v>142.6</v>
      </c>
      <c r="D936" t="n">
        <v>103.2</v>
      </c>
    </row>
    <row r="937">
      <c r="A937" t="n">
        <v>34912</v>
      </c>
      <c r="B937" t="inlineStr">
        <is>
          <t>昇達科二</t>
        </is>
      </c>
      <c r="C937" t="n">
        <v>175</v>
      </c>
      <c r="D937" t="n">
        <v>110.75</v>
      </c>
    </row>
    <row r="938">
      <c r="A938" t="n">
        <v>34941</v>
      </c>
      <c r="B938" t="inlineStr">
        <is>
          <t>誠研一</t>
        </is>
      </c>
      <c r="C938" t="n">
        <v>144.5</v>
      </c>
      <c r="D938" t="n">
        <v>83.40000000000001</v>
      </c>
    </row>
    <row r="939">
      <c r="A939" t="n">
        <v>34991</v>
      </c>
      <c r="B939" t="inlineStr">
        <is>
          <t>環天一</t>
        </is>
      </c>
      <c r="C939" t="n">
        <v>144</v>
      </c>
      <c r="D939" t="n">
        <v>71</v>
      </c>
    </row>
    <row r="940">
      <c r="A940" t="n">
        <v>34992</v>
      </c>
      <c r="B940" t="inlineStr">
        <is>
          <t>環天二</t>
        </is>
      </c>
      <c r="C940" t="n">
        <v>110</v>
      </c>
      <c r="D940" t="n">
        <v>88.5</v>
      </c>
    </row>
    <row r="941">
      <c r="A941" t="n">
        <v>35121</v>
      </c>
      <c r="B941" t="inlineStr">
        <is>
          <t>皇龍一</t>
        </is>
      </c>
      <c r="C941" t="n">
        <v>128</v>
      </c>
      <c r="D941" t="n">
        <v>99.34999999999999</v>
      </c>
    </row>
    <row r="942">
      <c r="A942" t="n">
        <v>35141</v>
      </c>
      <c r="B942" t="inlineStr">
        <is>
          <t>昱晶一</t>
        </is>
      </c>
      <c r="C942" t="n">
        <v>127</v>
      </c>
      <c r="D942" t="n">
        <v>85.95</v>
      </c>
    </row>
    <row r="943">
      <c r="A943" t="n">
        <v>35142</v>
      </c>
      <c r="B943" t="inlineStr">
        <is>
          <t>昱晶二</t>
        </is>
      </c>
      <c r="C943" t="n">
        <v>145.5</v>
      </c>
      <c r="D943" t="n">
        <v>100</v>
      </c>
    </row>
    <row r="944">
      <c r="A944" t="n">
        <v>35161</v>
      </c>
      <c r="B944" t="inlineStr">
        <is>
          <t>亞帝歐一</t>
        </is>
      </c>
      <c r="C944" t="n">
        <v>133.5</v>
      </c>
      <c r="D944" t="n">
        <v>97.09999999999999</v>
      </c>
      <c r="E944" t="inlineStr">
        <is>
          <t>H</t>
        </is>
      </c>
      <c r="F944" s="208" t="n">
        <v>0.1115736885928394</v>
      </c>
    </row>
    <row r="945">
      <c r="A945" t="n">
        <v>35181</v>
      </c>
      <c r="B945" t="inlineStr">
        <is>
          <t>柏騰一</t>
        </is>
      </c>
      <c r="C945" t="n">
        <v>129.5</v>
      </c>
      <c r="D945" t="n">
        <v>98</v>
      </c>
    </row>
    <row r="946">
      <c r="A946" t="n">
        <v>35191</v>
      </c>
      <c r="B946" t="inlineStr">
        <is>
          <t>綠能一</t>
        </is>
      </c>
      <c r="C946" t="n">
        <v>198</v>
      </c>
      <c r="D946" t="n">
        <v>80.5</v>
      </c>
    </row>
    <row r="947">
      <c r="A947" t="n">
        <v>35211</v>
      </c>
      <c r="B947" t="inlineStr">
        <is>
          <t>鴻翊一</t>
        </is>
      </c>
      <c r="C947" t="n">
        <v>199</v>
      </c>
      <c r="D947" t="n">
        <v>106</v>
      </c>
    </row>
    <row r="948">
      <c r="A948" t="n">
        <v>35221</v>
      </c>
      <c r="B948" t="inlineStr">
        <is>
          <t>御嵿一</t>
        </is>
      </c>
      <c r="C948" t="n">
        <v>159</v>
      </c>
      <c r="D948" t="n">
        <v>100.25</v>
      </c>
      <c r="E948" t="inlineStr">
        <is>
          <t>L</t>
        </is>
      </c>
      <c r="F948" s="208" t="n">
        <v>-0.01811949069539661</v>
      </c>
    </row>
    <row r="949">
      <c r="A949" t="n">
        <v>35231</v>
      </c>
      <c r="B949" t="inlineStr">
        <is>
          <t>迎輝一</t>
        </is>
      </c>
      <c r="C949" t="n">
        <v>117.9</v>
      </c>
      <c r="D949" t="n">
        <v>96.15000000000001</v>
      </c>
    </row>
    <row r="950">
      <c r="A950" t="n">
        <v>35261</v>
      </c>
      <c r="B950" t="inlineStr">
        <is>
          <t>凡甲一</t>
        </is>
      </c>
      <c r="C950" t="n">
        <v>150</v>
      </c>
      <c r="D950" t="n">
        <v>99.2</v>
      </c>
    </row>
    <row r="951">
      <c r="A951" t="n">
        <v>35262</v>
      </c>
      <c r="B951" t="inlineStr">
        <is>
          <t>凡甲二</t>
        </is>
      </c>
      <c r="C951" t="n">
        <v>197</v>
      </c>
      <c r="D951" t="n">
        <v>102</v>
      </c>
    </row>
    <row r="952">
      <c r="A952" t="n">
        <v>35263</v>
      </c>
      <c r="B952" t="inlineStr">
        <is>
          <t>凡甲三</t>
        </is>
      </c>
      <c r="C952" t="n">
        <v>130.55</v>
      </c>
      <c r="D952" t="n">
        <v>100.5</v>
      </c>
    </row>
    <row r="953">
      <c r="A953" t="n">
        <v>35264</v>
      </c>
      <c r="B953" t="inlineStr">
        <is>
          <t>凡甲四</t>
        </is>
      </c>
      <c r="C953" t="n">
        <v>356</v>
      </c>
      <c r="D953" t="n">
        <v>103.9</v>
      </c>
    </row>
    <row r="954">
      <c r="A954" t="n">
        <v>35265</v>
      </c>
      <c r="B954" t="inlineStr">
        <is>
          <t>凡甲五</t>
        </is>
      </c>
      <c r="C954" t="n">
        <v>256</v>
      </c>
      <c r="D954" t="n">
        <v>99</v>
      </c>
      <c r="E954" t="inlineStr">
        <is>
          <t>H</t>
        </is>
      </c>
      <c r="F954" s="208" t="n">
        <v>0.2018779342723005</v>
      </c>
    </row>
    <row r="955">
      <c r="A955" t="n">
        <v>35266</v>
      </c>
      <c r="B955" t="inlineStr">
        <is>
          <t>凡甲六</t>
        </is>
      </c>
      <c r="C955" t="n">
        <v>207</v>
      </c>
      <c r="D955" t="n">
        <v>104</v>
      </c>
      <c r="E955" t="inlineStr">
        <is>
          <t>H</t>
        </is>
      </c>
      <c r="F955" s="208" t="n">
        <v>0.1965317919075145</v>
      </c>
    </row>
    <row r="956">
      <c r="A956" t="n">
        <v>35267</v>
      </c>
      <c r="B956" t="inlineStr">
        <is>
          <t>凡甲七</t>
        </is>
      </c>
      <c r="C956" t="n">
        <v>158</v>
      </c>
      <c r="D956" t="n">
        <v>105.05</v>
      </c>
      <c r="E956" t="inlineStr">
        <is>
          <t>H</t>
        </is>
      </c>
      <c r="F956" s="208" t="n">
        <v>0.1277658815132049</v>
      </c>
    </row>
    <row r="957">
      <c r="A957" t="n">
        <v>35271</v>
      </c>
      <c r="B957" t="inlineStr">
        <is>
          <t>聚積一</t>
        </is>
      </c>
      <c r="C957" t="n">
        <v>231</v>
      </c>
      <c r="D957" t="n">
        <v>110.5</v>
      </c>
    </row>
    <row r="958">
      <c r="A958" t="n">
        <v>35331</v>
      </c>
      <c r="B958" t="inlineStr">
        <is>
          <t>嘉澤一</t>
        </is>
      </c>
      <c r="C958" t="n">
        <v>167</v>
      </c>
      <c r="D958" t="n">
        <v>112.8</v>
      </c>
    </row>
    <row r="959">
      <c r="A959" t="n">
        <v>35332</v>
      </c>
      <c r="B959" t="inlineStr">
        <is>
          <t>嘉澤二</t>
        </is>
      </c>
      <c r="C959" t="n">
        <v>211</v>
      </c>
      <c r="D959" t="n">
        <v>110.2</v>
      </c>
    </row>
    <row r="960">
      <c r="A960" t="n">
        <v>35351</v>
      </c>
      <c r="B960" t="inlineStr">
        <is>
          <t>晶科一</t>
        </is>
      </c>
      <c r="C960" t="n">
        <v>113</v>
      </c>
      <c r="D960" t="n">
        <v>98</v>
      </c>
    </row>
    <row r="961">
      <c r="A961" t="n">
        <v>35352</v>
      </c>
      <c r="B961" t="inlineStr">
        <is>
          <t>晶彩科二</t>
        </is>
      </c>
      <c r="C961" t="n">
        <v>128</v>
      </c>
      <c r="D961" t="n">
        <v>100.5</v>
      </c>
    </row>
    <row r="962">
      <c r="A962" t="n">
        <v>35361</v>
      </c>
      <c r="B962" t="inlineStr">
        <is>
          <t>誠創一</t>
        </is>
      </c>
      <c r="C962" t="n">
        <v>142.9</v>
      </c>
      <c r="D962" t="n">
        <v>99.5</v>
      </c>
    </row>
    <row r="963">
      <c r="A963" t="n">
        <v>35363</v>
      </c>
      <c r="B963" t="inlineStr">
        <is>
          <t>誠創三</t>
        </is>
      </c>
      <c r="C963" t="n">
        <v>127</v>
      </c>
      <c r="D963" t="n">
        <v>98.84999999999999</v>
      </c>
    </row>
    <row r="964">
      <c r="A964" t="n">
        <v>35431</v>
      </c>
      <c r="B964" t="inlineStr">
        <is>
          <t>州巧一</t>
        </is>
      </c>
      <c r="C964" t="n">
        <v>145.5</v>
      </c>
      <c r="D964" t="n">
        <v>113.8</v>
      </c>
      <c r="E964" t="inlineStr">
        <is>
          <t>L</t>
        </is>
      </c>
      <c r="F964" s="208" t="n">
        <v>-0.01896551724137933</v>
      </c>
    </row>
    <row r="965">
      <c r="A965" t="n">
        <v>35451</v>
      </c>
      <c r="B965" t="inlineStr">
        <is>
          <t>敦泰一</t>
        </is>
      </c>
      <c r="C965" t="n">
        <v>134.7</v>
      </c>
      <c r="D965" t="n">
        <v>91</v>
      </c>
    </row>
    <row r="966">
      <c r="A966" t="n">
        <v>35481</v>
      </c>
      <c r="B966" t="inlineStr">
        <is>
          <t>兆利一</t>
        </is>
      </c>
      <c r="C966" t="n">
        <v>325</v>
      </c>
      <c r="D966" t="n">
        <v>101.6</v>
      </c>
    </row>
    <row r="967">
      <c r="A967" t="n">
        <v>35482</v>
      </c>
      <c r="B967" t="inlineStr">
        <is>
          <t>兆利二</t>
        </is>
      </c>
      <c r="C967" t="n">
        <v>155</v>
      </c>
      <c r="D967" t="n">
        <v>97.59999999999999</v>
      </c>
    </row>
    <row r="968">
      <c r="A968" t="n">
        <v>35483</v>
      </c>
      <c r="B968" t="inlineStr">
        <is>
          <t>兆利三</t>
        </is>
      </c>
      <c r="C968" t="n">
        <v>119.5</v>
      </c>
      <c r="D968" t="n">
        <v>99.65000000000001</v>
      </c>
    </row>
    <row r="969">
      <c r="A969" t="n">
        <v>35511</v>
      </c>
      <c r="B969" t="inlineStr">
        <is>
          <t>世禾一</t>
        </is>
      </c>
      <c r="C969" t="n">
        <v>162</v>
      </c>
      <c r="D969" t="n">
        <v>95</v>
      </c>
    </row>
    <row r="970">
      <c r="A970" t="n">
        <v>35512</v>
      </c>
      <c r="B970" t="inlineStr">
        <is>
          <t>世禾二</t>
        </is>
      </c>
      <c r="C970" t="n">
        <v>136</v>
      </c>
      <c r="D970" t="n">
        <v>105.5</v>
      </c>
    </row>
    <row r="971">
      <c r="A971" t="n">
        <v>35513</v>
      </c>
      <c r="B971" t="inlineStr">
        <is>
          <t>世禾三</t>
        </is>
      </c>
      <c r="C971" t="n">
        <v>147</v>
      </c>
      <c r="D971" t="n">
        <v>117.3</v>
      </c>
      <c r="E971" t="inlineStr">
        <is>
          <t>H</t>
        </is>
      </c>
      <c r="F971" s="208" t="n">
        <v>0.02083333333333333</v>
      </c>
    </row>
    <row r="972">
      <c r="A972" t="n">
        <v>35521</v>
      </c>
      <c r="B972" t="inlineStr">
        <is>
          <t>同致一</t>
        </is>
      </c>
      <c r="C972" t="n">
        <v>149.2</v>
      </c>
      <c r="D972" t="n">
        <v>99.2</v>
      </c>
    </row>
    <row r="973">
      <c r="A973" t="n">
        <v>35522</v>
      </c>
      <c r="B973" t="inlineStr">
        <is>
          <t>同致二</t>
        </is>
      </c>
      <c r="C973" t="n">
        <v>187</v>
      </c>
      <c r="D973" t="n">
        <v>96</v>
      </c>
    </row>
    <row r="974">
      <c r="A974" t="n">
        <v>35523</v>
      </c>
      <c r="B974" t="inlineStr">
        <is>
          <t>同致三</t>
        </is>
      </c>
      <c r="C974" t="n">
        <v>545</v>
      </c>
      <c r="D974" t="n">
        <v>102</v>
      </c>
    </row>
    <row r="975">
      <c r="A975" t="n">
        <v>35571</v>
      </c>
      <c r="B975" t="inlineStr">
        <is>
          <t>嘉威一</t>
        </is>
      </c>
      <c r="C975" t="n">
        <v>117</v>
      </c>
      <c r="D975" t="n">
        <v>100.75</v>
      </c>
    </row>
    <row r="976">
      <c r="A976" t="n">
        <v>35641</v>
      </c>
      <c r="B976" t="inlineStr">
        <is>
          <t>其陽一</t>
        </is>
      </c>
      <c r="C976" t="n">
        <v>118</v>
      </c>
      <c r="D976" t="n">
        <v>99.59999999999999</v>
      </c>
    </row>
    <row r="977">
      <c r="A977" t="n">
        <v>35642</v>
      </c>
      <c r="B977" t="inlineStr">
        <is>
          <t>其陽二</t>
        </is>
      </c>
      <c r="C977" t="n">
        <v>125</v>
      </c>
      <c r="D977" t="n">
        <v>89.09999999999999</v>
      </c>
      <c r="E977" t="inlineStr">
        <is>
          <t>L</t>
        </is>
      </c>
      <c r="F977" s="208" t="n">
        <v>-0.0621052631578948</v>
      </c>
    </row>
    <row r="978">
      <c r="A978" t="n">
        <v>35761</v>
      </c>
      <c r="B978" t="inlineStr">
        <is>
          <t>新日光一</t>
        </is>
      </c>
      <c r="C978" t="n">
        <v>157</v>
      </c>
      <c r="D978" t="n">
        <v>98</v>
      </c>
    </row>
    <row r="979">
      <c r="A979" t="n">
        <v>35762</v>
      </c>
      <c r="B979" t="inlineStr">
        <is>
          <t>新日光二</t>
        </is>
      </c>
      <c r="C979" t="n">
        <v>156</v>
      </c>
      <c r="D979" t="n">
        <v>98.8</v>
      </c>
    </row>
    <row r="980">
      <c r="A980" t="n">
        <v>35763</v>
      </c>
      <c r="B980" t="inlineStr">
        <is>
          <t>聯合再生三</t>
        </is>
      </c>
      <c r="C980" t="n">
        <v>125.9</v>
      </c>
      <c r="D980" t="n">
        <v>99.25</v>
      </c>
    </row>
    <row r="981">
      <c r="A981" t="n">
        <v>35791</v>
      </c>
      <c r="B981" t="inlineStr">
        <is>
          <t>尚志一</t>
        </is>
      </c>
      <c r="C981" t="n">
        <v>146</v>
      </c>
      <c r="D981" t="n">
        <v>91</v>
      </c>
    </row>
    <row r="982">
      <c r="A982" t="n">
        <v>35801</v>
      </c>
      <c r="B982" t="inlineStr">
        <is>
          <t>友威科一</t>
        </is>
      </c>
      <c r="C982" t="n">
        <v>388</v>
      </c>
      <c r="D982" t="n">
        <v>100.1</v>
      </c>
    </row>
    <row r="983">
      <c r="A983" t="n">
        <v>35802</v>
      </c>
      <c r="B983" t="inlineStr">
        <is>
          <t>友威科二</t>
        </is>
      </c>
      <c r="C983" t="n">
        <v>132</v>
      </c>
      <c r="D983" t="n">
        <v>99.3</v>
      </c>
    </row>
    <row r="984">
      <c r="A984" t="n">
        <v>35831</v>
      </c>
      <c r="B984" t="inlineStr">
        <is>
          <t>辛耘一</t>
        </is>
      </c>
      <c r="C984" t="n">
        <v>281</v>
      </c>
      <c r="D984" t="n">
        <v>99</v>
      </c>
      <c r="E984" t="inlineStr">
        <is>
          <t>H</t>
        </is>
      </c>
      <c r="F984" s="208" t="n">
        <v>0.1563786008230453</v>
      </c>
    </row>
    <row r="985">
      <c r="A985" t="n">
        <v>35832</v>
      </c>
      <c r="B985" t="inlineStr">
        <is>
          <t>辛耘二</t>
        </is>
      </c>
      <c r="C985" t="n">
        <v>292</v>
      </c>
      <c r="D985" t="n">
        <v>96</v>
      </c>
      <c r="E985" t="inlineStr">
        <is>
          <t>H</t>
        </is>
      </c>
      <c r="F985" s="208" t="n">
        <v>0.1450980392156863</v>
      </c>
    </row>
    <row r="986">
      <c r="A986" t="n">
        <v>35841</v>
      </c>
      <c r="B986" t="inlineStr">
        <is>
          <t>介面一</t>
        </is>
      </c>
      <c r="C986" t="n">
        <v>117.5</v>
      </c>
      <c r="D986" t="n">
        <v>87</v>
      </c>
    </row>
    <row r="987">
      <c r="A987" t="n">
        <v>35871</v>
      </c>
      <c r="B987" t="inlineStr">
        <is>
          <t>閎康一</t>
        </is>
      </c>
      <c r="C987" t="n">
        <v>174</v>
      </c>
      <c r="D987" t="n">
        <v>103.05</v>
      </c>
      <c r="F987" s="208" t="inlineStr"/>
    </row>
    <row r="988">
      <c r="A988" t="n">
        <v>35872</v>
      </c>
      <c r="B988" t="inlineStr">
        <is>
          <t>閎康二</t>
        </is>
      </c>
      <c r="C988" t="n">
        <v>201</v>
      </c>
      <c r="D988" t="n">
        <v>122</v>
      </c>
      <c r="E988" t="inlineStr">
        <is>
          <t>H</t>
        </is>
      </c>
      <c r="F988" s="208" t="n">
        <v>0.046875</v>
      </c>
    </row>
    <row r="989">
      <c r="A989" t="n">
        <v>35911</v>
      </c>
      <c r="B989" t="inlineStr">
        <is>
          <t>艾笛一</t>
        </is>
      </c>
      <c r="C989" t="n">
        <v>143.4</v>
      </c>
      <c r="D989" t="n">
        <v>92</v>
      </c>
    </row>
    <row r="990">
      <c r="A990" t="n">
        <v>35912</v>
      </c>
      <c r="B990" t="inlineStr">
        <is>
          <t>艾笛二</t>
        </is>
      </c>
      <c r="C990" t="n">
        <v>140.8</v>
      </c>
      <c r="D990" t="n">
        <v>99.5</v>
      </c>
    </row>
    <row r="991">
      <c r="A991" t="n">
        <v>35913</v>
      </c>
      <c r="B991" t="inlineStr">
        <is>
          <t>艾笛森三</t>
        </is>
      </c>
      <c r="C991" t="n">
        <v>159</v>
      </c>
      <c r="D991" t="n">
        <v>104</v>
      </c>
    </row>
    <row r="992">
      <c r="A992" t="n">
        <v>35914</v>
      </c>
      <c r="B992" t="inlineStr">
        <is>
          <t>艾笛森四</t>
        </is>
      </c>
      <c r="C992" t="n">
        <v>127.6</v>
      </c>
      <c r="D992" t="n">
        <v>98.75</v>
      </c>
      <c r="F992" s="208" t="inlineStr"/>
    </row>
    <row r="993">
      <c r="A993" t="n">
        <v>35941</v>
      </c>
      <c r="B993" t="inlineStr">
        <is>
          <t>磐儀一</t>
        </is>
      </c>
      <c r="C993" t="n">
        <v>122.5</v>
      </c>
      <c r="D993" t="n">
        <v>97</v>
      </c>
    </row>
    <row r="994">
      <c r="A994" t="n">
        <v>35942</v>
      </c>
      <c r="B994" t="inlineStr">
        <is>
          <t>磐儀二</t>
        </is>
      </c>
      <c r="C994" t="n">
        <v>118.55</v>
      </c>
      <c r="D994" t="n">
        <v>97</v>
      </c>
    </row>
    <row r="995">
      <c r="A995" t="n">
        <v>35943</v>
      </c>
      <c r="B995" t="inlineStr">
        <is>
          <t>磐儀三</t>
        </is>
      </c>
      <c r="C995" t="n">
        <v>146</v>
      </c>
      <c r="D995" t="n">
        <v>81.5</v>
      </c>
    </row>
    <row r="996">
      <c r="A996" t="n">
        <v>35961</v>
      </c>
      <c r="B996" t="inlineStr">
        <is>
          <t>智易一</t>
        </is>
      </c>
      <c r="C996" t="n">
        <v>167</v>
      </c>
      <c r="D996" t="n">
        <v>100.5</v>
      </c>
    </row>
    <row r="997">
      <c r="A997" t="n">
        <v>35971</v>
      </c>
      <c r="B997" t="inlineStr">
        <is>
          <t>映興一</t>
        </is>
      </c>
      <c r="C997" t="n">
        <v>120</v>
      </c>
      <c r="D997" t="n">
        <v>98.5</v>
      </c>
    </row>
    <row r="998">
      <c r="A998" t="n">
        <v>35981</v>
      </c>
      <c r="B998" t="inlineStr">
        <is>
          <t>奕力一</t>
        </is>
      </c>
      <c r="C998" t="n">
        <v>160</v>
      </c>
      <c r="D998" t="n">
        <v>97</v>
      </c>
    </row>
    <row r="999">
      <c r="A999" t="n">
        <v>36051</v>
      </c>
      <c r="B999" t="inlineStr">
        <is>
          <t>宏致一</t>
        </is>
      </c>
      <c r="C999" t="n">
        <v>117</v>
      </c>
      <c r="D999" t="n">
        <v>97</v>
      </c>
    </row>
    <row r="1000">
      <c r="A1000" t="n">
        <v>36052</v>
      </c>
      <c r="B1000" t="inlineStr">
        <is>
          <t>宏致二</t>
        </is>
      </c>
      <c r="C1000" t="n">
        <v>133</v>
      </c>
      <c r="D1000" t="n">
        <v>95</v>
      </c>
    </row>
    <row r="1001">
      <c r="A1001" t="n">
        <v>36053</v>
      </c>
      <c r="B1001" t="inlineStr">
        <is>
          <t>宏致三</t>
        </is>
      </c>
      <c r="C1001" t="n">
        <v>178</v>
      </c>
      <c r="D1001" t="n">
        <v>97</v>
      </c>
      <c r="F1001" s="208" t="inlineStr"/>
    </row>
    <row r="1002">
      <c r="A1002" t="n">
        <v>36071</v>
      </c>
      <c r="B1002" t="inlineStr">
        <is>
          <t>谷崧一</t>
        </is>
      </c>
      <c r="C1002" t="n">
        <v>150</v>
      </c>
      <c r="D1002" t="n">
        <v>101.3</v>
      </c>
    </row>
    <row r="1003">
      <c r="A1003" t="n">
        <v>36072</v>
      </c>
      <c r="B1003" t="inlineStr">
        <is>
          <t>谷崧二</t>
        </is>
      </c>
      <c r="C1003" t="n">
        <v>111.5</v>
      </c>
      <c r="D1003" t="n">
        <v>97.2</v>
      </c>
    </row>
    <row r="1004">
      <c r="A1004" t="n">
        <v>36091</v>
      </c>
      <c r="B1004" t="inlineStr">
        <is>
          <t>東林一</t>
        </is>
      </c>
      <c r="C1004" t="n">
        <v>115.5</v>
      </c>
      <c r="D1004" t="n">
        <v>99</v>
      </c>
    </row>
    <row r="1005">
      <c r="A1005" t="n">
        <v>36111</v>
      </c>
      <c r="B1005" t="inlineStr">
        <is>
          <t>鼎翰一</t>
        </is>
      </c>
      <c r="C1005" t="n">
        <v>107</v>
      </c>
      <c r="D1005" t="n">
        <v>98</v>
      </c>
    </row>
    <row r="1006">
      <c r="A1006" t="n">
        <v>36171</v>
      </c>
      <c r="B1006" t="inlineStr">
        <is>
          <t>碩天一</t>
        </is>
      </c>
      <c r="C1006" t="n">
        <v>112</v>
      </c>
      <c r="D1006" t="n">
        <v>99.5</v>
      </c>
    </row>
    <row r="1007">
      <c r="A1007" t="n">
        <v>36172</v>
      </c>
      <c r="B1007" t="inlineStr">
        <is>
          <t>碩天二</t>
        </is>
      </c>
      <c r="C1007" t="n">
        <v>179</v>
      </c>
      <c r="D1007" t="n">
        <v>111</v>
      </c>
    </row>
    <row r="1008">
      <c r="A1008" t="n">
        <v>36173</v>
      </c>
      <c r="B1008" t="inlineStr">
        <is>
          <t>碩天三</t>
        </is>
      </c>
      <c r="C1008" t="n">
        <v>116</v>
      </c>
      <c r="D1008" t="n">
        <v>99.84999999999999</v>
      </c>
      <c r="E1008" t="inlineStr">
        <is>
          <t>H</t>
        </is>
      </c>
      <c r="F1008" s="208" t="n">
        <v>0.004329004329004329</v>
      </c>
    </row>
    <row r="1009">
      <c r="A1009" t="n">
        <v>36251</v>
      </c>
      <c r="B1009" t="inlineStr">
        <is>
          <t>西勝一</t>
        </is>
      </c>
      <c r="C1009" t="n">
        <v>366</v>
      </c>
      <c r="D1009" t="n">
        <v>106.5</v>
      </c>
    </row>
    <row r="1010">
      <c r="A1010" t="n">
        <v>36252</v>
      </c>
      <c r="B1010" t="inlineStr">
        <is>
          <t>西勝二</t>
        </is>
      </c>
      <c r="C1010" t="n">
        <v>114.45</v>
      </c>
      <c r="D1010" t="n">
        <v>92.05</v>
      </c>
    </row>
    <row r="1011">
      <c r="A1011" t="n">
        <v>36253</v>
      </c>
      <c r="B1011" t="inlineStr">
        <is>
          <t>西勝三</t>
        </is>
      </c>
      <c r="C1011" t="n">
        <v>168</v>
      </c>
      <c r="D1011" t="n">
        <v>99.05</v>
      </c>
    </row>
    <row r="1012">
      <c r="A1012" t="n">
        <v>36291</v>
      </c>
      <c r="B1012" t="inlineStr">
        <is>
          <t>卓韋一</t>
        </is>
      </c>
      <c r="C1012" t="n">
        <v>117.95</v>
      </c>
      <c r="D1012" t="n">
        <v>90.5</v>
      </c>
    </row>
    <row r="1013">
      <c r="A1013" t="n">
        <v>36311</v>
      </c>
      <c r="B1013" t="inlineStr">
        <is>
          <t>晟楠一</t>
        </is>
      </c>
      <c r="C1013" t="n">
        <v>160</v>
      </c>
      <c r="D1013" t="n">
        <v>99</v>
      </c>
    </row>
    <row r="1014">
      <c r="A1014" t="n">
        <v>36312</v>
      </c>
      <c r="B1014" t="inlineStr">
        <is>
          <t>晟楠二</t>
        </is>
      </c>
      <c r="C1014" t="n">
        <v>114.4</v>
      </c>
      <c r="D1014" t="n">
        <v>99.8</v>
      </c>
    </row>
    <row r="1015">
      <c r="A1015" t="n">
        <v>36313</v>
      </c>
      <c r="B1015" t="inlineStr">
        <is>
          <t>晟楠三</t>
        </is>
      </c>
      <c r="C1015" t="n">
        <v>123.1</v>
      </c>
      <c r="D1015" t="n">
        <v>99.84999999999999</v>
      </c>
    </row>
    <row r="1016">
      <c r="A1016" t="n">
        <v>36321</v>
      </c>
      <c r="B1016" t="inlineStr">
        <is>
          <t>研勤一</t>
        </is>
      </c>
      <c r="C1016" t="n">
        <v>132</v>
      </c>
      <c r="D1016" t="n">
        <v>93.15000000000001</v>
      </c>
    </row>
    <row r="1017">
      <c r="A1017" t="n">
        <v>36322</v>
      </c>
      <c r="B1017" t="inlineStr">
        <is>
          <t>研勤二</t>
        </is>
      </c>
      <c r="C1017" t="n">
        <v>115</v>
      </c>
      <c r="D1017" t="n">
        <v>99.7</v>
      </c>
    </row>
    <row r="1018">
      <c r="A1018" t="n">
        <v>36451</v>
      </c>
      <c r="B1018" t="inlineStr">
        <is>
          <t>達邁一</t>
        </is>
      </c>
      <c r="C1018" t="n">
        <v>162</v>
      </c>
      <c r="D1018" t="n">
        <v>94.5</v>
      </c>
    </row>
    <row r="1019">
      <c r="A1019" t="n">
        <v>36531</v>
      </c>
      <c r="B1019" t="inlineStr">
        <is>
          <t>健策一</t>
        </is>
      </c>
      <c r="C1019" t="n">
        <v>160</v>
      </c>
      <c r="D1019" t="n">
        <v>93</v>
      </c>
    </row>
    <row r="1020">
      <c r="A1020" t="n">
        <v>36532</v>
      </c>
      <c r="B1020" t="inlineStr">
        <is>
          <t>健策二</t>
        </is>
      </c>
      <c r="C1020" t="n">
        <v>196</v>
      </c>
      <c r="D1020" t="n">
        <v>103.5</v>
      </c>
    </row>
    <row r="1021">
      <c r="A1021" t="n">
        <v>36533</v>
      </c>
      <c r="B1021" t="inlineStr">
        <is>
          <t>健策三</t>
        </is>
      </c>
      <c r="C1021" t="n">
        <v>222</v>
      </c>
      <c r="D1021" t="n">
        <v>103</v>
      </c>
    </row>
    <row r="1022">
      <c r="A1022" t="n">
        <v>36534</v>
      </c>
      <c r="B1022" t="inlineStr">
        <is>
          <t>健策四</t>
        </is>
      </c>
      <c r="C1022" t="n">
        <v>236</v>
      </c>
      <c r="D1022" t="n">
        <v>108.5</v>
      </c>
    </row>
    <row r="1023">
      <c r="A1023" t="n">
        <v>36535</v>
      </c>
      <c r="B1023" t="inlineStr">
        <is>
          <t>健策五</t>
        </is>
      </c>
      <c r="C1023" t="n">
        <v>238</v>
      </c>
      <c r="D1023" t="n">
        <v>115</v>
      </c>
    </row>
    <row r="1024">
      <c r="A1024" t="n">
        <v>36621</v>
      </c>
      <c r="B1024" t="inlineStr">
        <is>
          <t>樂陞一</t>
        </is>
      </c>
      <c r="C1024" t="n">
        <v>212</v>
      </c>
      <c r="D1024" t="n">
        <v>107</v>
      </c>
    </row>
    <row r="1025">
      <c r="A1025" t="n">
        <v>36622</v>
      </c>
      <c r="B1025" t="inlineStr">
        <is>
          <t>樂陞二</t>
        </is>
      </c>
      <c r="C1025" t="n">
        <v>139</v>
      </c>
      <c r="D1025" t="n">
        <v>106</v>
      </c>
    </row>
    <row r="1026">
      <c r="A1026" t="n">
        <v>36623</v>
      </c>
      <c r="B1026" t="inlineStr">
        <is>
          <t>樂陞三</t>
        </is>
      </c>
      <c r="C1026" t="n">
        <v>149</v>
      </c>
      <c r="D1026" t="n">
        <v>94.5</v>
      </c>
    </row>
    <row r="1027">
      <c r="A1027" t="n">
        <v>36624</v>
      </c>
      <c r="B1027" t="inlineStr">
        <is>
          <t>樂陞四</t>
        </is>
      </c>
      <c r="C1027" t="n">
        <v>159</v>
      </c>
      <c r="D1027" t="n">
        <v>90</v>
      </c>
    </row>
    <row r="1028">
      <c r="A1028" t="n">
        <v>36625</v>
      </c>
      <c r="B1028" t="inlineStr">
        <is>
          <t>樂陞五</t>
        </is>
      </c>
      <c r="C1028" t="n">
        <v>133.1</v>
      </c>
      <c r="D1028" t="n">
        <v>128</v>
      </c>
    </row>
    <row r="1029">
      <c r="A1029" t="n">
        <v>36626</v>
      </c>
      <c r="B1029" t="inlineStr">
        <is>
          <t>樂陞六</t>
        </is>
      </c>
      <c r="C1029" t="n">
        <v>154</v>
      </c>
      <c r="D1029" t="n">
        <v>78.25</v>
      </c>
    </row>
    <row r="1030">
      <c r="A1030" t="n">
        <v>36631</v>
      </c>
      <c r="B1030" t="inlineStr">
        <is>
          <t>鑫科一</t>
        </is>
      </c>
      <c r="C1030" t="n">
        <v>138.5</v>
      </c>
      <c r="D1030" t="n">
        <v>99.05</v>
      </c>
    </row>
    <row r="1031">
      <c r="A1031" t="n">
        <v>36632</v>
      </c>
      <c r="B1031" t="inlineStr">
        <is>
          <t>鑫科二</t>
        </is>
      </c>
      <c r="C1031" t="n">
        <v>139.1</v>
      </c>
      <c r="D1031" t="n">
        <v>101.55</v>
      </c>
    </row>
    <row r="1032">
      <c r="A1032" t="n">
        <v>36633</v>
      </c>
      <c r="B1032" t="inlineStr">
        <is>
          <t>鑫科三</t>
        </is>
      </c>
      <c r="C1032" t="n">
        <v>420</v>
      </c>
      <c r="D1032" t="n">
        <v>114</v>
      </c>
    </row>
    <row r="1033">
      <c r="A1033" t="n">
        <v>36651</v>
      </c>
      <c r="B1033" t="inlineStr">
        <is>
          <t>貿聯一</t>
        </is>
      </c>
      <c r="C1033" t="n">
        <v>522</v>
      </c>
      <c r="D1033" t="n">
        <v>104.5</v>
      </c>
    </row>
    <row r="1034">
      <c r="A1034" t="n">
        <v>36652</v>
      </c>
      <c r="B1034" t="inlineStr">
        <is>
          <t>貿聯二KY</t>
        </is>
      </c>
      <c r="C1034" t="n">
        <v>180</v>
      </c>
      <c r="D1034" t="n">
        <v>100.75</v>
      </c>
    </row>
    <row r="1035">
      <c r="A1035" t="n">
        <v>36801</v>
      </c>
      <c r="B1035" t="inlineStr">
        <is>
          <t>家登一</t>
        </is>
      </c>
      <c r="C1035" t="n">
        <v>107</v>
      </c>
      <c r="D1035" t="n">
        <v>93.3</v>
      </c>
    </row>
    <row r="1036">
      <c r="A1036" t="n">
        <v>36802</v>
      </c>
      <c r="B1036" t="inlineStr">
        <is>
          <t>家登二</t>
        </is>
      </c>
      <c r="C1036" t="n">
        <v>273</v>
      </c>
      <c r="D1036" t="n">
        <v>109.35</v>
      </c>
    </row>
    <row r="1037">
      <c r="A1037" t="n">
        <v>36803</v>
      </c>
      <c r="B1037" t="inlineStr">
        <is>
          <t>家登三</t>
        </is>
      </c>
      <c r="C1037" t="n">
        <v>194</v>
      </c>
      <c r="D1037" t="n">
        <v>97</v>
      </c>
    </row>
    <row r="1038">
      <c r="A1038" t="n">
        <v>36804</v>
      </c>
      <c r="B1038" t="inlineStr">
        <is>
          <t>家登四</t>
        </is>
      </c>
      <c r="C1038" t="n">
        <v>175</v>
      </c>
      <c r="D1038" t="n">
        <v>104</v>
      </c>
      <c r="E1038" t="inlineStr">
        <is>
          <t>H</t>
        </is>
      </c>
      <c r="F1038" s="208" t="n">
        <v>0.04166666666666666</v>
      </c>
    </row>
    <row r="1039">
      <c r="A1039" t="n">
        <v>36841</v>
      </c>
      <c r="B1039" t="inlineStr">
        <is>
          <t>榮昌一</t>
        </is>
      </c>
      <c r="C1039" t="n">
        <v>142</v>
      </c>
      <c r="D1039" t="n">
        <v>105.5</v>
      </c>
    </row>
    <row r="1040">
      <c r="A1040" t="n">
        <v>36871</v>
      </c>
      <c r="B1040" t="inlineStr">
        <is>
          <t>歐買尬一</t>
        </is>
      </c>
      <c r="C1040" t="n">
        <v>113.8</v>
      </c>
      <c r="D1040" t="n">
        <v>98</v>
      </c>
    </row>
    <row r="1041">
      <c r="A1041" t="n">
        <v>36872</v>
      </c>
      <c r="B1041" t="inlineStr">
        <is>
          <t>歐買尬二</t>
        </is>
      </c>
      <c r="C1041" t="n">
        <v>112.9</v>
      </c>
      <c r="D1041" t="n">
        <v>94.05</v>
      </c>
      <c r="E1041" t="inlineStr">
        <is>
          <t>L</t>
        </is>
      </c>
      <c r="F1041" s="208" t="n">
        <v>-0.01672765290120239</v>
      </c>
    </row>
    <row r="1042">
      <c r="A1042" t="n">
        <v>36873</v>
      </c>
      <c r="B1042" t="inlineStr">
        <is>
          <t>歐買尬三</t>
        </is>
      </c>
      <c r="C1042" t="n">
        <v>110</v>
      </c>
      <c r="D1042" t="n">
        <v>93.25</v>
      </c>
    </row>
    <row r="1043">
      <c r="A1043" t="n">
        <v>36891</v>
      </c>
      <c r="B1043" t="inlineStr">
        <is>
          <t>湧德一</t>
        </is>
      </c>
      <c r="C1043" t="n">
        <v>138.15</v>
      </c>
      <c r="D1043" t="n">
        <v>101.5</v>
      </c>
    </row>
    <row r="1044">
      <c r="A1044" t="n">
        <v>36892</v>
      </c>
      <c r="B1044" t="inlineStr">
        <is>
          <t>湧德二</t>
        </is>
      </c>
      <c r="C1044" t="n">
        <v>117</v>
      </c>
      <c r="D1044" t="n">
        <v>99.25</v>
      </c>
    </row>
    <row r="1045">
      <c r="A1045" t="n">
        <v>36893</v>
      </c>
      <c r="B1045" t="inlineStr">
        <is>
          <t>湧德三</t>
        </is>
      </c>
      <c r="C1045" t="n">
        <v>227</v>
      </c>
      <c r="D1045" t="n">
        <v>105.2</v>
      </c>
    </row>
    <row r="1046">
      <c r="A1046" t="n">
        <v>36894</v>
      </c>
      <c r="B1046" t="inlineStr">
        <is>
          <t>湧德四</t>
        </is>
      </c>
      <c r="C1046" t="n">
        <v>209</v>
      </c>
      <c r="D1046" t="n">
        <v>115</v>
      </c>
    </row>
    <row r="1047">
      <c r="A1047" t="n">
        <v>36911</v>
      </c>
      <c r="B1047" t="inlineStr">
        <is>
          <t>碩禾一</t>
        </is>
      </c>
      <c r="C1047" t="n">
        <v>126.85</v>
      </c>
      <c r="D1047" t="n">
        <v>99.8</v>
      </c>
    </row>
    <row r="1048">
      <c r="A1048" t="n">
        <v>36912</v>
      </c>
      <c r="B1048" t="inlineStr">
        <is>
          <t>碩禾二</t>
        </is>
      </c>
      <c r="C1048" t="n">
        <v>122</v>
      </c>
      <c r="D1048" t="n">
        <v>77</v>
      </c>
    </row>
    <row r="1049">
      <c r="A1049" t="n">
        <v>36913</v>
      </c>
      <c r="B1049" t="inlineStr">
        <is>
          <t>碩禾三</t>
        </is>
      </c>
      <c r="C1049" t="n">
        <v>141.95</v>
      </c>
      <c r="D1049" t="n">
        <v>94.65000000000001</v>
      </c>
      <c r="E1049" t="inlineStr">
        <is>
          <t>H</t>
        </is>
      </c>
      <c r="F1049" s="208" t="n">
        <v>0.1177165354330708</v>
      </c>
    </row>
    <row r="1050">
      <c r="A1050" t="n">
        <v>36931</v>
      </c>
      <c r="B1050" t="inlineStr">
        <is>
          <t>營邦一</t>
        </is>
      </c>
      <c r="C1050" t="n">
        <v>117.05</v>
      </c>
      <c r="D1050" t="n">
        <v>99</v>
      </c>
    </row>
    <row r="1051">
      <c r="A1051" t="n">
        <v>36981</v>
      </c>
      <c r="B1051" t="inlineStr">
        <is>
          <t>隆達一</t>
        </is>
      </c>
      <c r="C1051" t="n">
        <v>141</v>
      </c>
      <c r="D1051" t="n">
        <v>93</v>
      </c>
    </row>
    <row r="1052">
      <c r="A1052" t="n">
        <v>36982</v>
      </c>
      <c r="B1052" t="inlineStr">
        <is>
          <t>隆達二</t>
        </is>
      </c>
      <c r="C1052" t="n">
        <v>113.1</v>
      </c>
      <c r="D1052" t="n">
        <v>94.90000000000001</v>
      </c>
    </row>
    <row r="1053">
      <c r="A1053" t="n">
        <v>37011</v>
      </c>
      <c r="B1053" t="inlineStr">
        <is>
          <t>大眾控一</t>
        </is>
      </c>
      <c r="C1053" t="n">
        <v>441</v>
      </c>
      <c r="D1053" t="n">
        <v>111.1</v>
      </c>
    </row>
    <row r="1054">
      <c r="A1054" t="n">
        <v>37012</v>
      </c>
      <c r="B1054" t="inlineStr">
        <is>
          <t>大眾控二</t>
        </is>
      </c>
      <c r="C1054" t="n">
        <v>128.9</v>
      </c>
      <c r="D1054" t="n">
        <v>96</v>
      </c>
    </row>
    <row r="1055">
      <c r="A1055" t="n">
        <v>37021</v>
      </c>
      <c r="B1055" t="inlineStr">
        <is>
          <t>大聯大一</t>
        </is>
      </c>
      <c r="C1055" t="n">
        <v>118.5</v>
      </c>
      <c r="D1055" t="n">
        <v>97</v>
      </c>
    </row>
    <row r="1056">
      <c r="A1056" t="n">
        <v>37022</v>
      </c>
      <c r="B1056" t="inlineStr">
        <is>
          <t>大聯大二</t>
        </is>
      </c>
      <c r="C1056" t="n">
        <v>165</v>
      </c>
      <c r="D1056" t="n">
        <v>93.5</v>
      </c>
      <c r="E1056" t="inlineStr">
        <is>
          <t>H</t>
        </is>
      </c>
      <c r="F1056" s="208" t="n">
        <v>0.2424698795180722</v>
      </c>
    </row>
    <row r="1057">
      <c r="A1057" t="n">
        <v>37023</v>
      </c>
      <c r="B1057" t="inlineStr">
        <is>
          <t>大聯大三</t>
        </is>
      </c>
      <c r="C1057" t="n">
        <v>170</v>
      </c>
      <c r="D1057" t="n">
        <v>96.05</v>
      </c>
      <c r="E1057" t="inlineStr">
        <is>
          <t>H</t>
        </is>
      </c>
      <c r="F1057" s="208" t="n">
        <v>0.2408759124087591</v>
      </c>
    </row>
    <row r="1058">
      <c r="A1058" t="n">
        <v>37063</v>
      </c>
      <c r="B1058" t="inlineStr">
        <is>
          <t>神達三</t>
        </is>
      </c>
      <c r="C1058" t="n">
        <v>115.5</v>
      </c>
      <c r="D1058" t="n">
        <v>98</v>
      </c>
    </row>
    <row r="1059">
      <c r="A1059" t="n">
        <v>37071</v>
      </c>
      <c r="B1059" t="inlineStr">
        <is>
          <t>漢磊一</t>
        </is>
      </c>
      <c r="C1059" t="n">
        <v>396</v>
      </c>
      <c r="D1059" t="n">
        <v>103.95</v>
      </c>
    </row>
    <row r="1060">
      <c r="A1060" t="n">
        <v>37072</v>
      </c>
      <c r="B1060" t="inlineStr">
        <is>
          <t>漢磊二</t>
        </is>
      </c>
      <c r="C1060" t="n">
        <v>610</v>
      </c>
      <c r="D1060" t="n">
        <v>109.75</v>
      </c>
    </row>
    <row r="1061">
      <c r="A1061" t="n">
        <v>37073</v>
      </c>
      <c r="B1061" t="inlineStr">
        <is>
          <t>漢磊三</t>
        </is>
      </c>
      <c r="C1061" t="n">
        <v>232</v>
      </c>
      <c r="D1061" t="n">
        <v>99.5</v>
      </c>
    </row>
    <row r="1062">
      <c r="A1062" t="n">
        <v>37074</v>
      </c>
      <c r="B1062" t="inlineStr">
        <is>
          <t>漢磊四</t>
        </is>
      </c>
      <c r="C1062" t="n">
        <v>190</v>
      </c>
      <c r="D1062" t="n">
        <v>93</v>
      </c>
    </row>
    <row r="1063">
      <c r="A1063" t="n">
        <v>37075</v>
      </c>
      <c r="B1063" t="inlineStr">
        <is>
          <t>漢磊五</t>
        </is>
      </c>
      <c r="C1063" t="n">
        <v>232</v>
      </c>
      <c r="D1063" t="n">
        <v>110.2</v>
      </c>
      <c r="E1063" t="inlineStr">
        <is>
          <t>H</t>
        </is>
      </c>
      <c r="F1063" s="208" t="n">
        <v>0.3567251461988304</v>
      </c>
    </row>
    <row r="1064">
      <c r="A1064" t="n">
        <v>37081</v>
      </c>
      <c r="B1064" t="inlineStr">
        <is>
          <t>上緯投控一</t>
        </is>
      </c>
      <c r="C1064" t="n">
        <v>0</v>
      </c>
      <c r="D1064" t="n">
        <v>0</v>
      </c>
    </row>
    <row r="1065">
      <c r="A1065" t="n">
        <v>37082</v>
      </c>
      <c r="B1065" t="inlineStr">
        <is>
          <t>上緯投控二</t>
        </is>
      </c>
      <c r="C1065" t="n">
        <v>103.7</v>
      </c>
      <c r="D1065" t="n">
        <v>91.05</v>
      </c>
    </row>
    <row r="1066">
      <c r="A1066" t="n">
        <v>37083</v>
      </c>
      <c r="B1066" t="inlineStr">
        <is>
          <t>上緯投控三</t>
        </is>
      </c>
      <c r="C1066" t="n">
        <v>176</v>
      </c>
      <c r="D1066" t="n">
        <v>100.2</v>
      </c>
    </row>
    <row r="1067">
      <c r="A1067" t="n">
        <v>37084</v>
      </c>
      <c r="B1067" t="inlineStr">
        <is>
          <t>上緯投控四</t>
        </is>
      </c>
      <c r="C1067" t="n">
        <v>180</v>
      </c>
      <c r="D1067" t="n">
        <v>102.7</v>
      </c>
    </row>
    <row r="1068">
      <c r="A1068" t="n">
        <v>37101</v>
      </c>
      <c r="B1068" t="inlineStr">
        <is>
          <t>連展投控一</t>
        </is>
      </c>
      <c r="C1068" t="n">
        <v>175</v>
      </c>
      <c r="D1068" t="n">
        <v>101.5</v>
      </c>
    </row>
    <row r="1069">
      <c r="A1069" t="n">
        <v>37131</v>
      </c>
      <c r="B1069" t="inlineStr">
        <is>
          <t>新晶投控一</t>
        </is>
      </c>
      <c r="C1069" t="n">
        <v>126.5</v>
      </c>
      <c r="D1069" t="n">
        <v>100.5</v>
      </c>
    </row>
    <row r="1070">
      <c r="A1070" t="n">
        <v>37151</v>
      </c>
      <c r="B1070" t="inlineStr">
        <is>
          <t>定穎一</t>
        </is>
      </c>
      <c r="C1070" t="n">
        <v>161</v>
      </c>
      <c r="D1070" t="n">
        <v>111.1</v>
      </c>
    </row>
    <row r="1071">
      <c r="A1071" t="n">
        <v>37152</v>
      </c>
      <c r="B1071" t="inlineStr">
        <is>
          <t>定穎投控二</t>
        </is>
      </c>
      <c r="C1071" t="n">
        <v>145.5</v>
      </c>
      <c r="D1071" t="n">
        <v>126</v>
      </c>
      <c r="E1071" t="inlineStr">
        <is>
          <t>L</t>
        </is>
      </c>
      <c r="F1071" s="208" t="n">
        <v>-0.031886285055705</v>
      </c>
    </row>
    <row r="1072">
      <c r="A1072" t="n">
        <v>37171</v>
      </c>
      <c r="B1072" t="inlineStr">
        <is>
          <t>聯嘉投控一</t>
        </is>
      </c>
      <c r="C1072" t="n">
        <v>139.9</v>
      </c>
      <c r="D1072" t="n">
        <v>104.55</v>
      </c>
      <c r="E1072" t="inlineStr">
        <is>
          <t>H</t>
        </is>
      </c>
      <c r="F1072" s="208" t="n">
        <v>0.03629629629629634</v>
      </c>
    </row>
    <row r="1073">
      <c r="A1073" t="n">
        <v>41031</v>
      </c>
      <c r="B1073" t="inlineStr">
        <is>
          <t>百略一</t>
        </is>
      </c>
      <c r="C1073" t="n">
        <v>119</v>
      </c>
      <c r="D1073" t="n">
        <v>99</v>
      </c>
    </row>
    <row r="1074">
      <c r="A1074" t="n">
        <v>41041</v>
      </c>
      <c r="B1074" t="inlineStr">
        <is>
          <t>東貿一</t>
        </is>
      </c>
      <c r="C1074" t="n">
        <v>118.9</v>
      </c>
      <c r="D1074" t="n">
        <v>100</v>
      </c>
    </row>
    <row r="1075">
      <c r="A1075" t="n">
        <v>41042</v>
      </c>
      <c r="B1075" t="inlineStr">
        <is>
          <t>佳醫二</t>
        </is>
      </c>
      <c r="C1075" t="n">
        <v>170</v>
      </c>
      <c r="D1075" t="n">
        <v>107</v>
      </c>
    </row>
    <row r="1076">
      <c r="A1076" t="n">
        <v>41043</v>
      </c>
      <c r="B1076" t="inlineStr">
        <is>
          <t>佳醫三</t>
        </is>
      </c>
      <c r="C1076" t="n">
        <v>122.7</v>
      </c>
      <c r="D1076" t="n">
        <v>97.05</v>
      </c>
    </row>
    <row r="1077">
      <c r="A1077" t="n">
        <v>41044</v>
      </c>
      <c r="B1077" t="inlineStr">
        <is>
          <t>佳醫四</t>
        </is>
      </c>
      <c r="C1077" t="n">
        <v>117.95</v>
      </c>
      <c r="D1077" t="n">
        <v>98</v>
      </c>
    </row>
    <row r="1078">
      <c r="A1078" t="n">
        <v>41045</v>
      </c>
      <c r="B1078" t="inlineStr">
        <is>
          <t>佳醫五</t>
        </is>
      </c>
      <c r="C1078" t="n">
        <v>141.5</v>
      </c>
      <c r="D1078" t="n">
        <v>110</v>
      </c>
    </row>
    <row r="1079">
      <c r="A1079" t="n">
        <v>41051</v>
      </c>
      <c r="B1079" t="inlineStr">
        <is>
          <t>東洋 一</t>
        </is>
      </c>
      <c r="C1079" t="n">
        <v>145.35</v>
      </c>
      <c r="D1079" t="n">
        <v>105.3</v>
      </c>
    </row>
    <row r="1080">
      <c r="A1080" t="n">
        <v>41052</v>
      </c>
      <c r="B1080" t="inlineStr">
        <is>
          <t>東洋二</t>
        </is>
      </c>
      <c r="C1080" t="n">
        <v>250</v>
      </c>
      <c r="D1080" t="n">
        <v>98</v>
      </c>
    </row>
    <row r="1081">
      <c r="A1081" t="n">
        <v>41061</v>
      </c>
      <c r="B1081" t="inlineStr">
        <is>
          <t>雃博一</t>
        </is>
      </c>
      <c r="C1081" t="n">
        <v>111</v>
      </c>
      <c r="D1081" t="n">
        <v>100.95</v>
      </c>
    </row>
    <row r="1082">
      <c r="A1082" t="n">
        <v>41071</v>
      </c>
      <c r="B1082" t="inlineStr">
        <is>
          <t>邦拓一</t>
        </is>
      </c>
      <c r="C1082" t="n">
        <v>567</v>
      </c>
      <c r="D1082" t="n">
        <v>85</v>
      </c>
    </row>
    <row r="1083">
      <c r="A1083" t="n">
        <v>41072</v>
      </c>
      <c r="B1083" t="inlineStr">
        <is>
          <t>邦特二</t>
        </is>
      </c>
      <c r="C1083" t="n">
        <v>222</v>
      </c>
      <c r="D1083" t="n">
        <v>107</v>
      </c>
    </row>
    <row r="1084">
      <c r="A1084" t="n">
        <v>41091</v>
      </c>
      <c r="B1084" t="inlineStr">
        <is>
          <t>加捷生醫一</t>
        </is>
      </c>
      <c r="C1084" t="n">
        <v>164</v>
      </c>
      <c r="D1084" t="n">
        <v>104</v>
      </c>
    </row>
    <row r="1085">
      <c r="A1085" t="n">
        <v>41092</v>
      </c>
      <c r="B1085" t="inlineStr">
        <is>
          <t>加捷生醫二</t>
        </is>
      </c>
      <c r="C1085" t="n">
        <v>150</v>
      </c>
      <c r="D1085" t="n">
        <v>100.6</v>
      </c>
    </row>
    <row r="1086">
      <c r="A1086" t="n">
        <v>41093</v>
      </c>
      <c r="B1086" t="inlineStr">
        <is>
          <t>加捷生醫三</t>
        </is>
      </c>
      <c r="C1086" t="n">
        <v>120.25</v>
      </c>
      <c r="D1086" t="n">
        <v>100.25</v>
      </c>
    </row>
    <row r="1087">
      <c r="A1087" t="n">
        <v>41111</v>
      </c>
      <c r="B1087" t="inlineStr">
        <is>
          <t>濟生一</t>
        </is>
      </c>
      <c r="C1087" t="n">
        <v>144</v>
      </c>
      <c r="D1087" t="n">
        <v>103.1</v>
      </c>
    </row>
    <row r="1088">
      <c r="A1088" t="n">
        <v>41131</v>
      </c>
      <c r="B1088" t="inlineStr">
        <is>
          <t>聯上一</t>
        </is>
      </c>
      <c r="C1088" t="n">
        <v>179</v>
      </c>
      <c r="D1088" t="n">
        <v>106</v>
      </c>
    </row>
    <row r="1089">
      <c r="A1089" t="n">
        <v>41132</v>
      </c>
      <c r="B1089" t="inlineStr">
        <is>
          <t>聯上二</t>
        </is>
      </c>
      <c r="C1089" t="n">
        <v>144.8</v>
      </c>
      <c r="D1089" t="n">
        <v>89.05</v>
      </c>
    </row>
    <row r="1090">
      <c r="A1090" t="n">
        <v>41133</v>
      </c>
      <c r="B1090" t="inlineStr">
        <is>
          <t>聯上三</t>
        </is>
      </c>
      <c r="C1090" t="n">
        <v>118.55</v>
      </c>
      <c r="D1090" t="n">
        <v>96.5</v>
      </c>
    </row>
    <row r="1091">
      <c r="A1091" t="n">
        <v>41134</v>
      </c>
      <c r="B1091" t="inlineStr">
        <is>
          <t>聯上四</t>
        </is>
      </c>
      <c r="C1091" t="n">
        <v>120.5</v>
      </c>
      <c r="D1091" t="n">
        <v>91.55</v>
      </c>
    </row>
    <row r="1092">
      <c r="A1092" t="n">
        <v>41135</v>
      </c>
      <c r="B1092" t="inlineStr">
        <is>
          <t>聯上五</t>
        </is>
      </c>
      <c r="C1092" t="n">
        <v>116.8</v>
      </c>
      <c r="D1092" t="n">
        <v>100.7</v>
      </c>
      <c r="F1092" s="208" t="inlineStr"/>
    </row>
    <row r="1093">
      <c r="A1093" t="n">
        <v>41136</v>
      </c>
      <c r="B1093" t="inlineStr">
        <is>
          <t>聯上六</t>
        </is>
      </c>
      <c r="C1093" t="n">
        <v>99.95</v>
      </c>
      <c r="D1093" t="n">
        <v>85.5</v>
      </c>
      <c r="E1093" t="inlineStr">
        <is>
          <t>L</t>
        </is>
      </c>
      <c r="F1093" s="208" t="n">
        <v>-0.03986524424480626</v>
      </c>
    </row>
    <row r="1094">
      <c r="A1094" t="n">
        <v>41141</v>
      </c>
      <c r="B1094" t="inlineStr">
        <is>
          <t>健喬一</t>
        </is>
      </c>
      <c r="C1094" t="n">
        <v>477</v>
      </c>
      <c r="D1094" t="n">
        <v>100</v>
      </c>
    </row>
    <row r="1095">
      <c r="A1095" t="n">
        <v>41142</v>
      </c>
      <c r="B1095" t="inlineStr">
        <is>
          <t>健喬二</t>
        </is>
      </c>
      <c r="C1095" t="n">
        <v>166</v>
      </c>
      <c r="D1095" t="n">
        <v>98.05</v>
      </c>
    </row>
    <row r="1096">
      <c r="A1096" t="n">
        <v>41143</v>
      </c>
      <c r="B1096" t="inlineStr">
        <is>
          <t>健喬三</t>
        </is>
      </c>
      <c r="C1096" t="n">
        <v>202</v>
      </c>
      <c r="D1096" t="n">
        <v>98.5</v>
      </c>
    </row>
    <row r="1097">
      <c r="A1097" t="n">
        <v>41144</v>
      </c>
      <c r="B1097" t="inlineStr">
        <is>
          <t>健喬四</t>
        </is>
      </c>
      <c r="C1097" t="n">
        <v>206</v>
      </c>
      <c r="D1097" t="n">
        <v>149</v>
      </c>
    </row>
    <row r="1098">
      <c r="A1098" t="n">
        <v>41145</v>
      </c>
      <c r="B1098" t="inlineStr">
        <is>
          <t>健喬五</t>
        </is>
      </c>
      <c r="C1098" t="n">
        <v>124</v>
      </c>
      <c r="D1098" t="n">
        <v>100.6</v>
      </c>
    </row>
    <row r="1099">
      <c r="A1099" t="n">
        <v>41191</v>
      </c>
      <c r="B1099" t="inlineStr">
        <is>
          <t>旭富一</t>
        </is>
      </c>
      <c r="C1099" t="n">
        <v>192</v>
      </c>
      <c r="D1099" t="n">
        <v>102.2</v>
      </c>
    </row>
    <row r="1100">
      <c r="A1100" t="n">
        <v>41201</v>
      </c>
      <c r="B1100" t="inlineStr">
        <is>
          <t>友華一</t>
        </is>
      </c>
      <c r="C1100" t="n">
        <v>490</v>
      </c>
      <c r="D1100" t="n">
        <v>103.2</v>
      </c>
    </row>
    <row r="1101">
      <c r="A1101" t="n">
        <v>41202</v>
      </c>
      <c r="B1101" t="inlineStr">
        <is>
          <t>友華二</t>
        </is>
      </c>
      <c r="C1101" t="n">
        <v>176</v>
      </c>
      <c r="D1101" t="n">
        <v>88.09999999999999</v>
      </c>
    </row>
    <row r="1102">
      <c r="A1102" t="n">
        <v>41211</v>
      </c>
      <c r="B1102" t="inlineStr">
        <is>
          <t>優盛一</t>
        </is>
      </c>
      <c r="C1102" t="n">
        <v>112</v>
      </c>
      <c r="D1102" t="n">
        <v>83</v>
      </c>
    </row>
    <row r="1103">
      <c r="A1103" t="n">
        <v>41212</v>
      </c>
      <c r="B1103" t="inlineStr">
        <is>
          <t>優盛二</t>
        </is>
      </c>
      <c r="C1103" t="n">
        <v>180</v>
      </c>
      <c r="D1103" t="n">
        <v>97.3</v>
      </c>
    </row>
    <row r="1104">
      <c r="A1104" t="n">
        <v>41231</v>
      </c>
      <c r="B1104" t="inlineStr">
        <is>
          <t>晟德一</t>
        </is>
      </c>
      <c r="C1104" t="n">
        <v>399</v>
      </c>
      <c r="D1104" t="n">
        <v>98.5</v>
      </c>
    </row>
    <row r="1105">
      <c r="A1105" t="n">
        <v>41232</v>
      </c>
      <c r="B1105" t="inlineStr">
        <is>
          <t>晟德二</t>
        </is>
      </c>
      <c r="C1105" t="n">
        <v>276</v>
      </c>
      <c r="D1105" t="n">
        <v>100.05</v>
      </c>
    </row>
    <row r="1106">
      <c r="A1106" t="n">
        <v>41233</v>
      </c>
      <c r="B1106" t="inlineStr">
        <is>
          <t>晟德三</t>
        </is>
      </c>
      <c r="C1106" t="n">
        <v>203</v>
      </c>
      <c r="D1106" t="n">
        <v>93.40000000000001</v>
      </c>
    </row>
    <row r="1107">
      <c r="A1107" t="n">
        <v>41234</v>
      </c>
      <c r="B1107" t="inlineStr">
        <is>
          <t>晟德四</t>
        </is>
      </c>
      <c r="C1107" t="n">
        <v>117</v>
      </c>
      <c r="D1107" t="n">
        <v>99</v>
      </c>
    </row>
    <row r="1108">
      <c r="A1108" t="n">
        <v>41235</v>
      </c>
      <c r="B1108" t="inlineStr">
        <is>
          <t>晟德五</t>
        </is>
      </c>
      <c r="C1108" t="n">
        <v>118.05</v>
      </c>
      <c r="D1108" t="n">
        <v>96.2</v>
      </c>
    </row>
    <row r="1109">
      <c r="A1109" t="n">
        <v>41236</v>
      </c>
      <c r="B1109" t="inlineStr">
        <is>
          <t>晟德六</t>
        </is>
      </c>
      <c r="C1109" t="n">
        <v>139.9</v>
      </c>
      <c r="D1109" t="n">
        <v>104.1</v>
      </c>
    </row>
    <row r="1110">
      <c r="A1110" t="n">
        <v>41237</v>
      </c>
      <c r="B1110" t="inlineStr">
        <is>
          <t>晟德七</t>
        </is>
      </c>
      <c r="C1110" t="n">
        <v>136.75</v>
      </c>
      <c r="D1110" t="n">
        <v>97</v>
      </c>
    </row>
    <row r="1111">
      <c r="A1111" t="n">
        <v>41261</v>
      </c>
      <c r="B1111" t="inlineStr">
        <is>
          <t>太醫一</t>
        </is>
      </c>
      <c r="C1111" t="n">
        <v>153</v>
      </c>
      <c r="D1111" t="n">
        <v>107</v>
      </c>
    </row>
    <row r="1112">
      <c r="A1112" t="n">
        <v>41262</v>
      </c>
      <c r="B1112" t="inlineStr">
        <is>
          <t>太醫二</t>
        </is>
      </c>
      <c r="C1112" t="n">
        <v>398</v>
      </c>
      <c r="D1112" t="n">
        <v>107</v>
      </c>
    </row>
    <row r="1113">
      <c r="A1113" t="n">
        <v>41281</v>
      </c>
      <c r="B1113" t="inlineStr">
        <is>
          <t>中天一</t>
        </is>
      </c>
      <c r="C1113" t="n">
        <v>141.2</v>
      </c>
      <c r="D1113" t="n">
        <v>102</v>
      </c>
    </row>
    <row r="1114">
      <c r="A1114" t="n">
        <v>41291</v>
      </c>
      <c r="B1114" t="inlineStr">
        <is>
          <t>聯骨一</t>
        </is>
      </c>
      <c r="C1114" t="n">
        <v>207</v>
      </c>
      <c r="D1114" t="n">
        <v>101.55</v>
      </c>
    </row>
    <row r="1115">
      <c r="A1115" t="n">
        <v>41292</v>
      </c>
      <c r="B1115" t="inlineStr">
        <is>
          <t>聯合二</t>
        </is>
      </c>
      <c r="C1115" t="n">
        <v>113.5</v>
      </c>
      <c r="D1115" t="n">
        <v>98.15000000000001</v>
      </c>
    </row>
    <row r="1116">
      <c r="A1116" t="n">
        <v>41293</v>
      </c>
      <c r="B1116" t="inlineStr">
        <is>
          <t>聯合三</t>
        </is>
      </c>
      <c r="C1116" t="n">
        <v>105.15</v>
      </c>
      <c r="D1116" t="n">
        <v>95</v>
      </c>
    </row>
    <row r="1117">
      <c r="A1117" t="n">
        <v>41294</v>
      </c>
      <c r="B1117" t="inlineStr">
        <is>
          <t>聯合四</t>
        </is>
      </c>
      <c r="C1117" t="n">
        <v>176</v>
      </c>
      <c r="D1117" t="n">
        <v>107.8</v>
      </c>
    </row>
    <row r="1118">
      <c r="A1118" t="n">
        <v>41295</v>
      </c>
      <c r="B1118" t="inlineStr">
        <is>
          <t>聯合五</t>
        </is>
      </c>
      <c r="C1118" t="n">
        <v>130.5</v>
      </c>
      <c r="D1118" t="n">
        <v>106</v>
      </c>
    </row>
    <row r="1119">
      <c r="A1119" t="n">
        <v>41301</v>
      </c>
      <c r="B1119" t="inlineStr">
        <is>
          <t>健亞一</t>
        </is>
      </c>
      <c r="C1119" t="n">
        <v>111.5</v>
      </c>
      <c r="D1119" t="n">
        <v>90.5</v>
      </c>
    </row>
    <row r="1120">
      <c r="A1120" t="n">
        <v>41311</v>
      </c>
      <c r="B1120" t="inlineStr">
        <is>
          <t>晶宇一</t>
        </is>
      </c>
      <c r="C1120" t="n">
        <v>527</v>
      </c>
      <c r="D1120" t="n">
        <v>93</v>
      </c>
    </row>
    <row r="1121">
      <c r="A1121" t="n">
        <v>41371</v>
      </c>
      <c r="B1121" t="inlineStr">
        <is>
          <t>麗豐一KY</t>
        </is>
      </c>
      <c r="C1121" t="n">
        <v>131.5</v>
      </c>
      <c r="D1121" t="n">
        <v>98</v>
      </c>
    </row>
    <row r="1122">
      <c r="A1122" t="n">
        <v>41372</v>
      </c>
      <c r="B1122" t="inlineStr">
        <is>
          <t>麗豐二KY</t>
        </is>
      </c>
      <c r="C1122" t="n">
        <v>106.5</v>
      </c>
      <c r="D1122" t="n">
        <v>97.05</v>
      </c>
    </row>
    <row r="1123">
      <c r="A1123" t="n">
        <v>41381</v>
      </c>
      <c r="B1123" t="inlineStr">
        <is>
          <t>曜亞一</t>
        </is>
      </c>
      <c r="C1123" t="n">
        <v>111.9</v>
      </c>
      <c r="D1123" t="n">
        <v>95</v>
      </c>
    </row>
    <row r="1124">
      <c r="A1124" t="n">
        <v>41382</v>
      </c>
      <c r="B1124" t="inlineStr">
        <is>
          <t>曜亞二</t>
        </is>
      </c>
      <c r="C1124" t="n">
        <v>127.3</v>
      </c>
      <c r="D1124" t="n">
        <v>99.75</v>
      </c>
    </row>
    <row r="1125">
      <c r="A1125" t="n">
        <v>41411</v>
      </c>
      <c r="B1125" t="inlineStr">
        <is>
          <t>龍燈一KY</t>
        </is>
      </c>
      <c r="C1125" t="n">
        <v>125</v>
      </c>
      <c r="D1125" t="n">
        <v>92.5</v>
      </c>
    </row>
    <row r="1126">
      <c r="A1126" t="n">
        <v>41412</v>
      </c>
      <c r="B1126" t="inlineStr">
        <is>
          <t>龍燈二KY</t>
        </is>
      </c>
      <c r="C1126" t="n">
        <v>112.5</v>
      </c>
      <c r="D1126" t="n">
        <v>99.7</v>
      </c>
    </row>
    <row r="1127">
      <c r="A1127" t="n">
        <v>41413</v>
      </c>
      <c r="B1127" t="inlineStr">
        <is>
          <t>龍燈三KY</t>
        </is>
      </c>
      <c r="C1127" t="n">
        <v>104.9</v>
      </c>
      <c r="D1127" t="n">
        <v>95</v>
      </c>
    </row>
    <row r="1128">
      <c r="A1128" t="n">
        <v>41414</v>
      </c>
      <c r="B1128" t="inlineStr">
        <is>
          <t>龍燈四KY</t>
        </is>
      </c>
      <c r="C1128" t="n">
        <v>189</v>
      </c>
      <c r="D1128" t="n">
        <v>103.1</v>
      </c>
    </row>
    <row r="1129">
      <c r="A1129" t="n">
        <v>41415</v>
      </c>
      <c r="B1129" t="inlineStr">
        <is>
          <t>龍燈五KY</t>
        </is>
      </c>
      <c r="C1129" t="n">
        <v>188</v>
      </c>
      <c r="D1129" t="n">
        <v>78</v>
      </c>
    </row>
    <row r="1130">
      <c r="A1130" t="n">
        <v>41421</v>
      </c>
      <c r="B1130" t="inlineStr">
        <is>
          <t>國光生一</t>
        </is>
      </c>
      <c r="C1130" t="n">
        <v>365</v>
      </c>
      <c r="D1130" t="n">
        <v>105</v>
      </c>
    </row>
    <row r="1131">
      <c r="A1131" t="n">
        <v>41422</v>
      </c>
      <c r="B1131" t="inlineStr">
        <is>
          <t>國光生二</t>
        </is>
      </c>
      <c r="C1131" t="n">
        <v>364</v>
      </c>
      <c r="D1131" t="n">
        <v>104.15</v>
      </c>
    </row>
    <row r="1132">
      <c r="A1132" t="n">
        <v>41481</v>
      </c>
      <c r="B1132" t="inlineStr">
        <is>
          <t>全宇生技一KY</t>
        </is>
      </c>
      <c r="C1132" t="n">
        <v>104.5</v>
      </c>
      <c r="D1132" t="n">
        <v>91</v>
      </c>
    </row>
    <row r="1133">
      <c r="A1133" t="n">
        <v>41531</v>
      </c>
      <c r="B1133" t="inlineStr">
        <is>
          <t>鈺緯一</t>
        </is>
      </c>
      <c r="C1133" t="n">
        <v>356</v>
      </c>
      <c r="D1133" t="n">
        <v>114.45</v>
      </c>
    </row>
    <row r="1134">
      <c r="A1134" t="n">
        <v>41532</v>
      </c>
      <c r="B1134" t="inlineStr">
        <is>
          <t>鈺緯二</t>
        </is>
      </c>
      <c r="C1134" t="n">
        <v>160</v>
      </c>
      <c r="D1134" t="n">
        <v>99.59999999999999</v>
      </c>
    </row>
    <row r="1135">
      <c r="A1135" t="n">
        <v>41551</v>
      </c>
      <c r="B1135" t="inlineStr">
        <is>
          <t>訊映一</t>
        </is>
      </c>
      <c r="C1135" t="n">
        <v>140.05</v>
      </c>
      <c r="D1135" t="n">
        <v>99.7</v>
      </c>
    </row>
    <row r="1136">
      <c r="A1136" t="n">
        <v>41552</v>
      </c>
      <c r="B1136" t="inlineStr">
        <is>
          <t>訊映二</t>
        </is>
      </c>
      <c r="C1136" t="n">
        <v>199</v>
      </c>
      <c r="D1136" t="n">
        <v>108.1</v>
      </c>
    </row>
    <row r="1137">
      <c r="A1137" t="n">
        <v>41553</v>
      </c>
      <c r="B1137" t="inlineStr">
        <is>
          <t>訊映三</t>
        </is>
      </c>
      <c r="C1137" t="n">
        <v>158</v>
      </c>
      <c r="D1137" t="n">
        <v>95</v>
      </c>
    </row>
    <row r="1138">
      <c r="A1138" t="n">
        <v>41611</v>
      </c>
      <c r="B1138" t="inlineStr">
        <is>
          <t>聿新科一</t>
        </is>
      </c>
      <c r="C1138" t="n">
        <v>233</v>
      </c>
      <c r="D1138" t="n">
        <v>101</v>
      </c>
    </row>
    <row r="1139">
      <c r="A1139" t="n">
        <v>41631</v>
      </c>
      <c r="B1139" t="inlineStr">
        <is>
          <t>鐿鈦一</t>
        </is>
      </c>
      <c r="C1139" t="n">
        <v>115</v>
      </c>
      <c r="D1139" t="n">
        <v>98</v>
      </c>
    </row>
    <row r="1140">
      <c r="A1140" t="n">
        <v>41641</v>
      </c>
      <c r="B1140" t="inlineStr">
        <is>
          <t>承業醫一</t>
        </is>
      </c>
      <c r="C1140" t="n">
        <v>118.5</v>
      </c>
      <c r="D1140" t="n">
        <v>100</v>
      </c>
    </row>
    <row r="1141">
      <c r="A1141" t="n">
        <v>41642</v>
      </c>
      <c r="B1141" t="inlineStr">
        <is>
          <t>承業醫二</t>
        </is>
      </c>
      <c r="C1141" t="n">
        <v>120.5</v>
      </c>
      <c r="D1141" t="n">
        <v>99.59999999999999</v>
      </c>
    </row>
    <row r="1142">
      <c r="A1142" t="n">
        <v>41643</v>
      </c>
      <c r="B1142" t="inlineStr">
        <is>
          <t>承業醫三</t>
        </is>
      </c>
      <c r="C1142" t="n">
        <v>134.1</v>
      </c>
      <c r="D1142" t="n">
        <v>99.7</v>
      </c>
    </row>
    <row r="1143">
      <c r="A1143" t="n">
        <v>41644</v>
      </c>
      <c r="B1143" t="inlineStr">
        <is>
          <t>承業醫四</t>
        </is>
      </c>
      <c r="C1143" t="n">
        <v>153</v>
      </c>
      <c r="D1143" t="n">
        <v>102.1</v>
      </c>
    </row>
    <row r="1144">
      <c r="A1144" t="n">
        <v>41645</v>
      </c>
      <c r="B1144" t="inlineStr">
        <is>
          <t>承業醫五</t>
        </is>
      </c>
      <c r="C1144" t="n">
        <v>121.3</v>
      </c>
      <c r="D1144" t="n">
        <v>100</v>
      </c>
      <c r="E1144" t="inlineStr">
        <is>
          <t>L</t>
        </is>
      </c>
      <c r="F1144" s="208" t="n">
        <v>-0.0196078431372549</v>
      </c>
    </row>
    <row r="1145">
      <c r="A1145" t="n">
        <v>41671</v>
      </c>
      <c r="B1145" t="inlineStr">
        <is>
          <t>展旺一</t>
        </is>
      </c>
      <c r="C1145" t="n">
        <v>125</v>
      </c>
      <c r="D1145" t="n">
        <v>99.90000000000001</v>
      </c>
    </row>
    <row r="1146">
      <c r="A1146" t="n">
        <v>41672</v>
      </c>
      <c r="B1146" t="inlineStr">
        <is>
          <t>松瑞藥二</t>
        </is>
      </c>
      <c r="C1146" t="n">
        <v>157</v>
      </c>
      <c r="D1146" t="n">
        <v>100.15</v>
      </c>
    </row>
    <row r="1147">
      <c r="A1147" t="n">
        <v>41681</v>
      </c>
      <c r="B1147" t="inlineStr">
        <is>
          <t>醣聯一</t>
        </is>
      </c>
      <c r="C1147" t="n">
        <v>168</v>
      </c>
      <c r="D1147" t="n">
        <v>107</v>
      </c>
    </row>
    <row r="1148">
      <c r="A1148" t="n">
        <v>41682</v>
      </c>
      <c r="B1148" t="inlineStr">
        <is>
          <t>醣聯二</t>
        </is>
      </c>
      <c r="C1148" t="n">
        <v>199</v>
      </c>
      <c r="D1148" t="n">
        <v>100.35</v>
      </c>
    </row>
    <row r="1149">
      <c r="A1149" t="n">
        <v>41683</v>
      </c>
      <c r="B1149" t="inlineStr">
        <is>
          <t>醣聯三</t>
        </is>
      </c>
      <c r="C1149" t="n">
        <v>168</v>
      </c>
      <c r="D1149" t="n">
        <v>98.8</v>
      </c>
    </row>
    <row r="1150">
      <c r="A1150" t="n">
        <v>41684</v>
      </c>
      <c r="B1150" t="inlineStr">
        <is>
          <t>醣聯四</t>
        </is>
      </c>
      <c r="C1150" t="n">
        <v>128</v>
      </c>
      <c r="D1150" t="n">
        <v>108</v>
      </c>
      <c r="F1150" s="208" t="inlineStr"/>
    </row>
    <row r="1151">
      <c r="A1151" t="n">
        <v>41711</v>
      </c>
      <c r="B1151" t="inlineStr">
        <is>
          <t>瑞基一</t>
        </is>
      </c>
      <c r="C1151" t="n">
        <v>137</v>
      </c>
      <c r="D1151" t="n">
        <v>100.8</v>
      </c>
    </row>
    <row r="1152">
      <c r="A1152" t="n">
        <v>41712</v>
      </c>
      <c r="B1152" t="inlineStr">
        <is>
          <t>瑞基二</t>
        </is>
      </c>
      <c r="C1152" t="n">
        <v>159</v>
      </c>
      <c r="D1152" t="n">
        <v>99.59999999999999</v>
      </c>
    </row>
    <row r="1153">
      <c r="A1153" t="n">
        <v>41751</v>
      </c>
      <c r="B1153" t="inlineStr">
        <is>
          <t>杏一一</t>
        </is>
      </c>
      <c r="C1153" t="n">
        <v>117</v>
      </c>
      <c r="D1153" t="n">
        <v>100.05</v>
      </c>
    </row>
    <row r="1154">
      <c r="A1154" t="n">
        <v>41752</v>
      </c>
      <c r="B1154" t="inlineStr">
        <is>
          <t>杏一二</t>
        </is>
      </c>
      <c r="C1154" t="n">
        <v>236</v>
      </c>
      <c r="D1154" t="n">
        <v>100</v>
      </c>
    </row>
    <row r="1155">
      <c r="A1155" t="n">
        <v>41901</v>
      </c>
      <c r="B1155" t="inlineStr">
        <is>
          <t>佐登一KY</t>
        </is>
      </c>
      <c r="C1155" t="n">
        <v>121</v>
      </c>
      <c r="D1155" t="n">
        <v>98</v>
      </c>
    </row>
    <row r="1156">
      <c r="A1156" t="n">
        <v>41902</v>
      </c>
      <c r="B1156" t="inlineStr">
        <is>
          <t>佐登二KY</t>
        </is>
      </c>
      <c r="C1156" t="n">
        <v>122.5</v>
      </c>
      <c r="D1156" t="n">
        <v>94.15000000000001</v>
      </c>
    </row>
    <row r="1157">
      <c r="A1157" t="n">
        <v>41903</v>
      </c>
      <c r="B1157" t="inlineStr">
        <is>
          <t>佐登三KY</t>
        </is>
      </c>
      <c r="C1157" t="n">
        <v>104</v>
      </c>
      <c r="D1157" t="n">
        <v>88.59999999999999</v>
      </c>
    </row>
    <row r="1158">
      <c r="A1158" t="n">
        <v>42071</v>
      </c>
      <c r="B1158" t="inlineStr">
        <is>
          <t>環泰一</t>
        </is>
      </c>
      <c r="C1158" t="n">
        <v>171</v>
      </c>
      <c r="D1158" t="n">
        <v>97</v>
      </c>
    </row>
    <row r="1159">
      <c r="A1159" t="n">
        <v>42072</v>
      </c>
      <c r="B1159" t="inlineStr">
        <is>
          <t>環泰二</t>
        </is>
      </c>
      <c r="C1159" t="n">
        <v>228</v>
      </c>
      <c r="D1159" t="n">
        <v>102.5</v>
      </c>
    </row>
    <row r="1160">
      <c r="A1160" t="n">
        <v>43031</v>
      </c>
      <c r="B1160" t="inlineStr">
        <is>
          <t>信立一</t>
        </is>
      </c>
      <c r="C1160" t="n">
        <v>227</v>
      </c>
      <c r="D1160" t="n">
        <v>96.09999999999999</v>
      </c>
    </row>
    <row r="1161">
      <c r="A1161" t="n">
        <v>43061</v>
      </c>
      <c r="B1161" t="inlineStr">
        <is>
          <t>炎洲一</t>
        </is>
      </c>
      <c r="C1161" t="n">
        <v>153</v>
      </c>
      <c r="D1161" t="n">
        <v>91.15000000000001</v>
      </c>
    </row>
    <row r="1162">
      <c r="A1162" t="n">
        <v>43062</v>
      </c>
      <c r="B1162" t="inlineStr">
        <is>
          <t>炎洲二</t>
        </is>
      </c>
      <c r="C1162" t="n">
        <v>184</v>
      </c>
      <c r="D1162" t="n">
        <v>96</v>
      </c>
    </row>
    <row r="1163">
      <c r="A1163" t="n">
        <v>43063</v>
      </c>
      <c r="B1163" t="inlineStr">
        <is>
          <t>炎洲三</t>
        </is>
      </c>
      <c r="C1163" t="n">
        <v>177</v>
      </c>
      <c r="D1163" t="n">
        <v>86</v>
      </c>
    </row>
    <row r="1164">
      <c r="A1164" t="n">
        <v>43064</v>
      </c>
      <c r="B1164" t="inlineStr">
        <is>
          <t>炎洲四</t>
        </is>
      </c>
      <c r="C1164" t="n">
        <v>181</v>
      </c>
      <c r="D1164" t="n">
        <v>71</v>
      </c>
    </row>
    <row r="1165">
      <c r="A1165" t="n">
        <v>43065</v>
      </c>
      <c r="B1165" t="inlineStr">
        <is>
          <t>炎洲五</t>
        </is>
      </c>
      <c r="C1165" t="n">
        <v>152</v>
      </c>
      <c r="D1165" t="n">
        <v>103</v>
      </c>
    </row>
    <row r="1166">
      <c r="A1166" t="n">
        <v>43066</v>
      </c>
      <c r="B1166" t="inlineStr">
        <is>
          <t>炎洲六</t>
        </is>
      </c>
      <c r="C1166" t="n">
        <v>110.1</v>
      </c>
      <c r="D1166" t="n">
        <v>94.34999999999999</v>
      </c>
    </row>
    <row r="1167">
      <c r="A1167" t="n">
        <v>43067</v>
      </c>
      <c r="B1167" t="inlineStr">
        <is>
          <t>炎洲七</t>
        </is>
      </c>
      <c r="C1167" t="n">
        <v>127.95</v>
      </c>
      <c r="D1167" t="n">
        <v>99.59999999999999</v>
      </c>
    </row>
    <row r="1168">
      <c r="A1168" t="n">
        <v>43068</v>
      </c>
      <c r="B1168" t="inlineStr">
        <is>
          <t>炎洲八</t>
        </is>
      </c>
      <c r="C1168" t="n">
        <v>190</v>
      </c>
      <c r="D1168" t="n">
        <v>101.05</v>
      </c>
    </row>
    <row r="1169">
      <c r="A1169" t="n">
        <v>43069</v>
      </c>
      <c r="B1169" t="inlineStr">
        <is>
          <t>炎洲九</t>
        </is>
      </c>
      <c r="C1169" t="n">
        <v>190</v>
      </c>
      <c r="D1169" t="n">
        <v>101.9</v>
      </c>
    </row>
    <row r="1170">
      <c r="A1170" t="n">
        <v>44021</v>
      </c>
      <c r="B1170" t="inlineStr">
        <is>
          <t>福大一</t>
        </is>
      </c>
      <c r="C1170" t="n">
        <v>127</v>
      </c>
      <c r="D1170" t="n">
        <v>100.9</v>
      </c>
    </row>
    <row r="1171">
      <c r="A1171" t="n">
        <v>44141</v>
      </c>
      <c r="B1171" t="inlineStr">
        <is>
          <t>如興一</t>
        </is>
      </c>
      <c r="C1171" t="n">
        <v>167</v>
      </c>
      <c r="D1171" t="n">
        <v>105.95</v>
      </c>
    </row>
    <row r="1172">
      <c r="A1172" t="n">
        <v>44142</v>
      </c>
      <c r="B1172" t="inlineStr">
        <is>
          <t>如興二</t>
        </is>
      </c>
      <c r="C1172" t="n">
        <v>126</v>
      </c>
      <c r="D1172" t="n">
        <v>97.25</v>
      </c>
    </row>
    <row r="1173">
      <c r="A1173" t="n">
        <v>44143</v>
      </c>
      <c r="B1173" t="inlineStr">
        <is>
          <t>如興三</t>
        </is>
      </c>
      <c r="C1173" t="n">
        <v>174</v>
      </c>
      <c r="D1173" t="n">
        <v>98.7</v>
      </c>
    </row>
    <row r="1174">
      <c r="A1174" t="n">
        <v>44144</v>
      </c>
      <c r="B1174" t="inlineStr">
        <is>
          <t>如興四</t>
        </is>
      </c>
      <c r="C1174" t="n">
        <v>163</v>
      </c>
      <c r="D1174" t="n">
        <v>101.75</v>
      </c>
    </row>
    <row r="1175">
      <c r="A1175" t="n">
        <v>44161</v>
      </c>
      <c r="B1175" t="inlineStr">
        <is>
          <t>三圓一</t>
        </is>
      </c>
      <c r="C1175" t="n">
        <v>108</v>
      </c>
      <c r="D1175" t="n">
        <v>99.05</v>
      </c>
    </row>
    <row r="1176">
      <c r="A1176" t="n">
        <v>44162</v>
      </c>
      <c r="B1176" t="inlineStr">
        <is>
          <t>三圓二</t>
        </is>
      </c>
      <c r="C1176" t="n">
        <v>136</v>
      </c>
      <c r="D1176" t="n">
        <v>99.90000000000001</v>
      </c>
    </row>
    <row r="1177">
      <c r="A1177" t="n">
        <v>44163</v>
      </c>
      <c r="B1177" t="inlineStr">
        <is>
          <t>三圓三</t>
        </is>
      </c>
      <c r="C1177" t="n">
        <v>144.8</v>
      </c>
      <c r="D1177" t="n">
        <v>99.05</v>
      </c>
    </row>
    <row r="1178">
      <c r="A1178" t="n">
        <v>44301</v>
      </c>
      <c r="B1178" t="inlineStr">
        <is>
          <t>耀億一</t>
        </is>
      </c>
      <c r="C1178" t="n">
        <v>138</v>
      </c>
      <c r="D1178" t="n">
        <v>99</v>
      </c>
    </row>
    <row r="1179">
      <c r="A1179" t="n">
        <v>44331</v>
      </c>
      <c r="B1179" t="inlineStr">
        <is>
          <t>興采一</t>
        </is>
      </c>
      <c r="C1179" t="n">
        <v>199</v>
      </c>
      <c r="D1179" t="n">
        <v>95.65000000000001</v>
      </c>
    </row>
    <row r="1180">
      <c r="A1180" t="n">
        <v>44332</v>
      </c>
      <c r="B1180" t="inlineStr">
        <is>
          <t>興采二</t>
        </is>
      </c>
      <c r="C1180" t="n">
        <v>111.7</v>
      </c>
      <c r="D1180" t="n">
        <v>98.5</v>
      </c>
    </row>
    <row r="1181">
      <c r="A1181" t="n">
        <v>44381</v>
      </c>
      <c r="B1181" t="inlineStr">
        <is>
          <t>廣越一</t>
        </is>
      </c>
      <c r="C1181" t="n">
        <v>114.25</v>
      </c>
      <c r="D1181" t="n">
        <v>97.95</v>
      </c>
    </row>
    <row r="1182">
      <c r="A1182" t="n">
        <v>44382</v>
      </c>
      <c r="B1182" t="inlineStr">
        <is>
          <t>廣越二</t>
        </is>
      </c>
      <c r="C1182" t="n">
        <v>108.8</v>
      </c>
      <c r="D1182" t="n">
        <v>98.7</v>
      </c>
    </row>
    <row r="1183">
      <c r="A1183" t="n">
        <v>44383</v>
      </c>
      <c r="B1183" t="inlineStr">
        <is>
          <t>廣越三</t>
        </is>
      </c>
      <c r="C1183" t="n">
        <v>117</v>
      </c>
      <c r="D1183" t="n">
        <v>100.55</v>
      </c>
      <c r="F1183" s="208" t="inlineStr"/>
    </row>
    <row r="1184">
      <c r="A1184" t="n">
        <v>44391</v>
      </c>
      <c r="B1184" t="inlineStr">
        <is>
          <t>冠星一KY</t>
        </is>
      </c>
      <c r="C1184" t="n">
        <v>108.65</v>
      </c>
      <c r="D1184" t="n">
        <v>92.84999999999999</v>
      </c>
    </row>
    <row r="1185">
      <c r="A1185" t="n">
        <v>44421</v>
      </c>
      <c r="B1185" t="inlineStr">
        <is>
          <t>竣邦一KY</t>
        </is>
      </c>
      <c r="C1185" t="n">
        <v>148</v>
      </c>
      <c r="D1185" t="n">
        <v>96</v>
      </c>
    </row>
    <row r="1186">
      <c r="A1186" t="n">
        <v>45101</v>
      </c>
      <c r="B1186" t="inlineStr">
        <is>
          <t>高鋒一</t>
        </is>
      </c>
      <c r="C1186" t="n">
        <v>120</v>
      </c>
      <c r="D1186" t="n">
        <v>71.09999999999999</v>
      </c>
    </row>
    <row r="1187">
      <c r="A1187" t="n">
        <v>45102</v>
      </c>
      <c r="B1187" t="inlineStr">
        <is>
          <t>高鋒二</t>
        </is>
      </c>
      <c r="C1187" t="n">
        <v>121.6</v>
      </c>
      <c r="D1187" t="n">
        <v>90</v>
      </c>
    </row>
    <row r="1188">
      <c r="A1188" t="n">
        <v>45231</v>
      </c>
      <c r="B1188" t="inlineStr">
        <is>
          <t>永彰一</t>
        </is>
      </c>
      <c r="C1188" t="n">
        <v>110.5</v>
      </c>
      <c r="D1188" t="n">
        <v>97.09999999999999</v>
      </c>
    </row>
    <row r="1189">
      <c r="A1189" t="n">
        <v>45261</v>
      </c>
      <c r="B1189" t="inlineStr">
        <is>
          <t>東台一</t>
        </is>
      </c>
      <c r="C1189" t="n">
        <v>230</v>
      </c>
      <c r="D1189" t="n">
        <v>107</v>
      </c>
    </row>
    <row r="1190">
      <c r="A1190" t="n">
        <v>45271</v>
      </c>
      <c r="B1190" t="inlineStr">
        <is>
          <t>方霖一</t>
        </is>
      </c>
      <c r="C1190" t="n">
        <v>132.6</v>
      </c>
      <c r="D1190" t="n">
        <v>100</v>
      </c>
    </row>
    <row r="1191">
      <c r="A1191" t="n">
        <v>45272</v>
      </c>
      <c r="B1191" t="inlineStr">
        <is>
          <t>方霖二</t>
        </is>
      </c>
      <c r="C1191" t="n">
        <v>149</v>
      </c>
      <c r="D1191" t="n">
        <v>98.15000000000001</v>
      </c>
    </row>
    <row r="1192">
      <c r="A1192" t="n">
        <v>45321</v>
      </c>
      <c r="B1192" t="inlineStr">
        <is>
          <t xml:space="preserve">瑞智一    </t>
        </is>
      </c>
      <c r="C1192" t="n">
        <v>244</v>
      </c>
      <c r="D1192" t="n">
        <v>106</v>
      </c>
    </row>
    <row r="1193">
      <c r="A1193" t="n">
        <v>45322</v>
      </c>
      <c r="B1193" t="inlineStr">
        <is>
          <t>瑞智二</t>
        </is>
      </c>
      <c r="C1193" t="n">
        <v>142</v>
      </c>
      <c r="D1193" t="n">
        <v>96.5</v>
      </c>
    </row>
    <row r="1194">
      <c r="A1194" t="n">
        <v>45331</v>
      </c>
      <c r="B1194" t="inlineStr">
        <is>
          <t>協易一</t>
        </is>
      </c>
      <c r="C1194" t="n">
        <v>149.5</v>
      </c>
      <c r="D1194" t="n">
        <v>82</v>
      </c>
    </row>
    <row r="1195">
      <c r="A1195" t="n">
        <v>45341</v>
      </c>
      <c r="B1195" t="inlineStr">
        <is>
          <t>三林一</t>
        </is>
      </c>
      <c r="C1195" t="n">
        <v>105</v>
      </c>
      <c r="D1195" t="n">
        <v>91.5</v>
      </c>
    </row>
    <row r="1196">
      <c r="A1196" t="n">
        <v>45342</v>
      </c>
      <c r="B1196" t="inlineStr">
        <is>
          <t>慶騰二</t>
        </is>
      </c>
      <c r="C1196" t="n">
        <v>185</v>
      </c>
      <c r="D1196" t="n">
        <v>99</v>
      </c>
    </row>
    <row r="1197">
      <c r="A1197" t="n">
        <v>45343</v>
      </c>
      <c r="B1197" t="inlineStr">
        <is>
          <t>慶騰三</t>
        </is>
      </c>
      <c r="C1197" t="n">
        <v>260</v>
      </c>
      <c r="D1197" t="n">
        <v>99.65000000000001</v>
      </c>
    </row>
    <row r="1198">
      <c r="A1198" t="n">
        <v>45381</v>
      </c>
      <c r="B1198" t="inlineStr">
        <is>
          <t>大詠城一</t>
        </is>
      </c>
      <c r="C1198" t="n">
        <v>146.6</v>
      </c>
      <c r="D1198" t="n">
        <v>97.5</v>
      </c>
    </row>
    <row r="1199">
      <c r="A1199" t="n">
        <v>45401</v>
      </c>
      <c r="B1199" t="inlineStr">
        <is>
          <t>全球傳動一</t>
        </is>
      </c>
      <c r="C1199" t="n">
        <v>166</v>
      </c>
      <c r="D1199" t="n">
        <v>99.65000000000001</v>
      </c>
    </row>
    <row r="1200">
      <c r="A1200" t="n">
        <v>45402</v>
      </c>
      <c r="B1200" t="inlineStr">
        <is>
          <t>全球傳動二</t>
        </is>
      </c>
      <c r="C1200" t="n">
        <v>176</v>
      </c>
      <c r="D1200" t="n">
        <v>99.3</v>
      </c>
    </row>
    <row r="1201">
      <c r="A1201" t="n">
        <v>45411</v>
      </c>
      <c r="B1201" t="inlineStr">
        <is>
          <t>晟田一</t>
        </is>
      </c>
      <c r="C1201" t="n">
        <v>113</v>
      </c>
      <c r="D1201" t="n">
        <v>99.59999999999999</v>
      </c>
    </row>
    <row r="1202">
      <c r="A1202" t="n">
        <v>45412</v>
      </c>
      <c r="B1202" t="inlineStr">
        <is>
          <t>晟田二</t>
        </is>
      </c>
      <c r="C1202" t="n">
        <v>109.45</v>
      </c>
      <c r="D1202" t="n">
        <v>98</v>
      </c>
    </row>
    <row r="1203">
      <c r="A1203" t="n">
        <v>45413</v>
      </c>
      <c r="B1203" t="inlineStr">
        <is>
          <t>晟田三</t>
        </is>
      </c>
      <c r="C1203" t="n">
        <v>123</v>
      </c>
      <c r="D1203" t="n">
        <v>102.5</v>
      </c>
    </row>
    <row r="1204">
      <c r="A1204" t="n">
        <v>45414</v>
      </c>
      <c r="B1204" t="inlineStr">
        <is>
          <t>晟田四</t>
        </is>
      </c>
      <c r="C1204" t="n">
        <v>124.5</v>
      </c>
      <c r="D1204" t="n">
        <v>90.05</v>
      </c>
    </row>
    <row r="1205">
      <c r="A1205" t="n">
        <v>45421</v>
      </c>
      <c r="B1205" t="inlineStr">
        <is>
          <t>科嶠一</t>
        </is>
      </c>
      <c r="C1205" t="n">
        <v>332</v>
      </c>
      <c r="D1205" t="n">
        <v>90</v>
      </c>
      <c r="E1205" t="inlineStr">
        <is>
          <t>H</t>
        </is>
      </c>
      <c r="F1205" s="208" t="n">
        <v>0.4248927038626609</v>
      </c>
    </row>
    <row r="1206">
      <c r="A1206" t="n">
        <v>45491</v>
      </c>
      <c r="B1206" t="inlineStr">
        <is>
          <t>桓達一</t>
        </is>
      </c>
      <c r="C1206" t="n">
        <v>141</v>
      </c>
      <c r="D1206" t="n">
        <v>99.5</v>
      </c>
    </row>
    <row r="1207">
      <c r="A1207" t="n">
        <v>45501</v>
      </c>
      <c r="B1207" t="inlineStr">
        <is>
          <t>長佳一</t>
        </is>
      </c>
      <c r="C1207" t="n">
        <v>125.4</v>
      </c>
      <c r="D1207" t="n">
        <v>99.90000000000001</v>
      </c>
    </row>
    <row r="1208">
      <c r="A1208" t="n">
        <v>45511</v>
      </c>
      <c r="B1208" t="inlineStr">
        <is>
          <t>智伸科一</t>
        </is>
      </c>
      <c r="C1208" t="n">
        <v>132.8</v>
      </c>
      <c r="D1208" t="n">
        <v>96</v>
      </c>
    </row>
    <row r="1209">
      <c r="A1209" t="n">
        <v>45551</v>
      </c>
      <c r="B1209" t="inlineStr">
        <is>
          <t>氣立一</t>
        </is>
      </c>
      <c r="C1209" t="n">
        <v>109.55</v>
      </c>
      <c r="D1209" t="n">
        <v>95.05</v>
      </c>
    </row>
    <row r="1210">
      <c r="A1210" t="n">
        <v>45552</v>
      </c>
      <c r="B1210" t="inlineStr">
        <is>
          <t>氣立二</t>
        </is>
      </c>
      <c r="C1210" t="n">
        <v>128</v>
      </c>
      <c r="D1210" t="n">
        <v>99.65000000000001</v>
      </c>
    </row>
    <row r="1211">
      <c r="A1211" t="n">
        <v>45553</v>
      </c>
      <c r="B1211" t="inlineStr">
        <is>
          <t>氣立三</t>
        </is>
      </c>
      <c r="C1211" t="n">
        <v>118.75</v>
      </c>
      <c r="D1211" t="n">
        <v>99.2</v>
      </c>
    </row>
    <row r="1212">
      <c r="A1212" t="n">
        <v>45554</v>
      </c>
      <c r="B1212" t="inlineStr">
        <is>
          <t>氣立四</t>
        </is>
      </c>
      <c r="C1212" t="n">
        <v>138.9</v>
      </c>
      <c r="D1212" t="n">
        <v>100</v>
      </c>
      <c r="E1212" t="inlineStr">
        <is>
          <t>H</t>
        </is>
      </c>
      <c r="F1212" s="208" t="n">
        <v>0.1246963562753037</v>
      </c>
    </row>
    <row r="1213">
      <c r="A1213" t="n">
        <v>45561</v>
      </c>
      <c r="B1213" t="inlineStr">
        <is>
          <t>旭然一</t>
        </is>
      </c>
      <c r="C1213" t="n">
        <v>113.2</v>
      </c>
      <c r="D1213" t="n">
        <v>99.8</v>
      </c>
    </row>
    <row r="1214">
      <c r="A1214" t="n">
        <v>45562</v>
      </c>
      <c r="B1214" t="inlineStr">
        <is>
          <t>旭然二</t>
        </is>
      </c>
      <c r="C1214" t="n">
        <v>104.15</v>
      </c>
      <c r="D1214" t="n">
        <v>92</v>
      </c>
    </row>
    <row r="1215">
      <c r="A1215" t="n">
        <v>45581</v>
      </c>
      <c r="B1215" t="inlineStr">
        <is>
          <t>寶緯一</t>
        </is>
      </c>
      <c r="C1215" t="n">
        <v>105</v>
      </c>
      <c r="D1215" t="n">
        <v>99.05</v>
      </c>
      <c r="E1215" t="inlineStr">
        <is>
          <t>L</t>
        </is>
      </c>
      <c r="F1215" s="208" t="n">
        <v>-0.009500000000000029</v>
      </c>
    </row>
    <row r="1216">
      <c r="A1216" t="n">
        <v>45601</v>
      </c>
      <c r="B1216" t="inlineStr">
        <is>
          <t>強信一KY</t>
        </is>
      </c>
      <c r="C1216" t="n">
        <v>156</v>
      </c>
      <c r="D1216" t="n">
        <v>99.65000000000001</v>
      </c>
    </row>
    <row r="1217">
      <c r="A1217" t="n">
        <v>45631</v>
      </c>
      <c r="B1217" t="inlineStr">
        <is>
          <t>百德一</t>
        </is>
      </c>
      <c r="C1217" t="n">
        <v>102.5</v>
      </c>
      <c r="D1217" t="n">
        <v>90.15000000000001</v>
      </c>
    </row>
    <row r="1218">
      <c r="A1218" t="n">
        <v>45641</v>
      </c>
      <c r="B1218" t="inlineStr">
        <is>
          <t>元翎一</t>
        </is>
      </c>
      <c r="C1218" t="n">
        <v>113</v>
      </c>
      <c r="D1218" t="n">
        <v>91.8</v>
      </c>
    </row>
    <row r="1219">
      <c r="A1219" t="n">
        <v>45661</v>
      </c>
      <c r="B1219" t="inlineStr">
        <is>
          <t>時碩工業一</t>
        </is>
      </c>
      <c r="C1219" t="n">
        <v>270</v>
      </c>
      <c r="D1219" t="n">
        <v>99.5</v>
      </c>
    </row>
    <row r="1220">
      <c r="A1220" t="n">
        <v>45662</v>
      </c>
      <c r="B1220" t="inlineStr">
        <is>
          <t>時碩工業二</t>
        </is>
      </c>
      <c r="C1220" t="n">
        <v>264</v>
      </c>
      <c r="D1220" t="n">
        <v>105</v>
      </c>
    </row>
    <row r="1221">
      <c r="A1221" t="n">
        <v>45663</v>
      </c>
      <c r="B1221" t="inlineStr">
        <is>
          <t>時碩工業三</t>
        </is>
      </c>
      <c r="C1221" t="n">
        <v>223</v>
      </c>
      <c r="D1221" t="n">
        <v>106</v>
      </c>
    </row>
    <row r="1222">
      <c r="A1222" t="n">
        <v>45691</v>
      </c>
      <c r="B1222" t="inlineStr">
        <is>
          <t>六方科一KY</t>
        </is>
      </c>
      <c r="C1222" t="n">
        <v>128.05</v>
      </c>
      <c r="D1222" t="n">
        <v>95</v>
      </c>
      <c r="F1222" s="208" t="inlineStr"/>
    </row>
    <row r="1223">
      <c r="A1223" t="n">
        <v>45721</v>
      </c>
      <c r="B1223" t="inlineStr">
        <is>
          <t>駐龍一</t>
        </is>
      </c>
      <c r="C1223" t="n">
        <v>121</v>
      </c>
      <c r="D1223" t="n">
        <v>100.95</v>
      </c>
      <c r="E1223" t="inlineStr">
        <is>
          <t>L</t>
        </is>
      </c>
      <c r="F1223" s="208" t="n">
        <v>-0.02037845705967971</v>
      </c>
    </row>
    <row r="1224">
      <c r="A1224" t="n">
        <v>45801</v>
      </c>
      <c r="B1224" t="inlineStr">
        <is>
          <t>捷流閥業一</t>
        </is>
      </c>
      <c r="C1224" t="n">
        <v>130</v>
      </c>
      <c r="D1224" t="n">
        <v>99.5</v>
      </c>
    </row>
    <row r="1225">
      <c r="A1225" t="n">
        <v>45811</v>
      </c>
      <c r="B1225" t="inlineStr">
        <is>
          <t>光隆精密一KY</t>
        </is>
      </c>
      <c r="C1225" t="n">
        <v>107.05</v>
      </c>
      <c r="D1225" t="n">
        <v>94.09999999999999</v>
      </c>
    </row>
    <row r="1226">
      <c r="A1226" t="n">
        <v>45881</v>
      </c>
      <c r="B1226" t="inlineStr">
        <is>
          <t>玖鼎電力一</t>
        </is>
      </c>
      <c r="C1226" t="n">
        <v>0</v>
      </c>
      <c r="D1226" t="n">
        <v>0</v>
      </c>
    </row>
    <row r="1227">
      <c r="A1227" t="n">
        <v>47031</v>
      </c>
      <c r="B1227" t="inlineStr">
        <is>
          <t>揚華一</t>
        </is>
      </c>
      <c r="C1227" t="n">
        <v>105</v>
      </c>
      <c r="D1227" t="n">
        <v>21.75</v>
      </c>
    </row>
    <row r="1228">
      <c r="A1228" t="n">
        <v>47141</v>
      </c>
      <c r="B1228" t="inlineStr">
        <is>
          <t>永捷一</t>
        </is>
      </c>
      <c r="C1228" t="n">
        <v>131.15</v>
      </c>
      <c r="D1228" t="n">
        <v>100.9</v>
      </c>
    </row>
    <row r="1229">
      <c r="A1229" t="n">
        <v>47142</v>
      </c>
      <c r="B1229" t="inlineStr">
        <is>
          <t>永捷二</t>
        </is>
      </c>
      <c r="C1229" t="n">
        <v>129.8</v>
      </c>
      <c r="D1229" t="n">
        <v>98</v>
      </c>
    </row>
    <row r="1230">
      <c r="A1230" t="n">
        <v>47143</v>
      </c>
      <c r="B1230" t="inlineStr">
        <is>
          <t>永捷三</t>
        </is>
      </c>
      <c r="C1230" t="n">
        <v>179</v>
      </c>
      <c r="D1230" t="n">
        <v>103.5</v>
      </c>
    </row>
    <row r="1231">
      <c r="A1231" t="n">
        <v>47144</v>
      </c>
      <c r="B1231" t="inlineStr">
        <is>
          <t>永捷四</t>
        </is>
      </c>
      <c r="C1231" t="n">
        <v>165</v>
      </c>
      <c r="D1231" t="n">
        <v>96.59999999999999</v>
      </c>
    </row>
    <row r="1232">
      <c r="A1232" t="n">
        <v>47145</v>
      </c>
      <c r="B1232" t="inlineStr">
        <is>
          <t>永捷五</t>
        </is>
      </c>
      <c r="C1232" t="n">
        <v>123.1</v>
      </c>
      <c r="D1232" t="n">
        <v>101.5</v>
      </c>
    </row>
    <row r="1233">
      <c r="A1233" t="n">
        <v>47146</v>
      </c>
      <c r="B1233" t="inlineStr">
        <is>
          <t>永捷六</t>
        </is>
      </c>
      <c r="C1233" t="n">
        <v>180</v>
      </c>
      <c r="D1233" t="n">
        <v>100.2</v>
      </c>
    </row>
    <row r="1234">
      <c r="A1234" t="n">
        <v>47147</v>
      </c>
      <c r="B1234" t="inlineStr">
        <is>
          <t>永捷七</t>
        </is>
      </c>
      <c r="C1234" t="n">
        <v>206</v>
      </c>
      <c r="D1234" t="n">
        <v>100</v>
      </c>
    </row>
    <row r="1235">
      <c r="A1235" t="n">
        <v>47161</v>
      </c>
      <c r="B1235" t="inlineStr">
        <is>
          <t xml:space="preserve">大立一    </t>
        </is>
      </c>
      <c r="C1235" t="n">
        <v>113.5</v>
      </c>
      <c r="D1235" t="n">
        <v>78.5</v>
      </c>
    </row>
    <row r="1236">
      <c r="A1236" t="n">
        <v>47162</v>
      </c>
      <c r="B1236" t="inlineStr">
        <is>
          <t>大立二</t>
        </is>
      </c>
      <c r="C1236" t="n">
        <v>115.5</v>
      </c>
      <c r="D1236" t="n">
        <v>99.8</v>
      </c>
    </row>
    <row r="1237">
      <c r="A1237" t="n">
        <v>47201</v>
      </c>
      <c r="B1237" t="inlineStr">
        <is>
          <t>德淵一</t>
        </is>
      </c>
      <c r="C1237" t="n">
        <v>118</v>
      </c>
      <c r="D1237" t="n">
        <v>99.84999999999999</v>
      </c>
    </row>
    <row r="1238">
      <c r="A1238" t="n">
        <v>47202</v>
      </c>
      <c r="B1238" t="inlineStr">
        <is>
          <t>德淵二</t>
        </is>
      </c>
      <c r="C1238" t="n">
        <v>175</v>
      </c>
      <c r="D1238" t="n">
        <v>100</v>
      </c>
    </row>
    <row r="1239">
      <c r="A1239" t="n">
        <v>47203</v>
      </c>
      <c r="B1239" t="inlineStr">
        <is>
          <t>德淵三</t>
        </is>
      </c>
      <c r="C1239" t="n">
        <v>152</v>
      </c>
      <c r="D1239" t="n">
        <v>92</v>
      </c>
    </row>
    <row r="1240">
      <c r="A1240" t="n">
        <v>47211</v>
      </c>
      <c r="B1240" t="inlineStr">
        <is>
          <t>美琪一</t>
        </is>
      </c>
      <c r="C1240" t="n">
        <v>128.5</v>
      </c>
      <c r="D1240" t="n">
        <v>96.5</v>
      </c>
    </row>
    <row r="1241">
      <c r="A1241" t="n">
        <v>47221</v>
      </c>
      <c r="B1241" t="inlineStr">
        <is>
          <t>國精一</t>
        </is>
      </c>
      <c r="C1241" t="n">
        <v>136.4</v>
      </c>
      <c r="D1241" t="n">
        <v>97.05</v>
      </c>
    </row>
    <row r="1242">
      <c r="A1242" t="n">
        <v>47222</v>
      </c>
      <c r="B1242" t="inlineStr">
        <is>
          <t>國精二</t>
        </is>
      </c>
      <c r="C1242" t="n">
        <v>161</v>
      </c>
      <c r="D1242" t="n">
        <v>100.3</v>
      </c>
    </row>
    <row r="1243">
      <c r="A1243" t="n">
        <v>47223</v>
      </c>
      <c r="B1243" t="inlineStr">
        <is>
          <t>國精化三</t>
        </is>
      </c>
      <c r="C1243" t="n">
        <v>206</v>
      </c>
      <c r="D1243" t="n">
        <v>122.75</v>
      </c>
      <c r="E1243" t="inlineStr">
        <is>
          <t>H</t>
        </is>
      </c>
      <c r="F1243" s="208" t="n">
        <v>0.3121019108280255</v>
      </c>
    </row>
    <row r="1244">
      <c r="A1244" t="n">
        <v>47291</v>
      </c>
      <c r="B1244" t="inlineStr">
        <is>
          <t>熒茂一</t>
        </is>
      </c>
      <c r="C1244" t="n">
        <v>110</v>
      </c>
      <c r="D1244" t="n">
        <v>99.3</v>
      </c>
    </row>
    <row r="1245">
      <c r="A1245" t="n">
        <v>47331</v>
      </c>
      <c r="B1245" t="inlineStr">
        <is>
          <t>上緯一</t>
        </is>
      </c>
      <c r="C1245" t="n">
        <v>750</v>
      </c>
      <c r="D1245" t="n">
        <v>107</v>
      </c>
    </row>
    <row r="1246">
      <c r="A1246" t="n">
        <v>47332</v>
      </c>
      <c r="B1246" t="inlineStr">
        <is>
          <t>上緯二</t>
        </is>
      </c>
      <c r="C1246" t="n">
        <v>132</v>
      </c>
      <c r="D1246" t="n">
        <v>97.5</v>
      </c>
    </row>
    <row r="1247">
      <c r="A1247" t="n">
        <v>47351</v>
      </c>
      <c r="B1247" t="inlineStr">
        <is>
          <t>豪展一</t>
        </is>
      </c>
      <c r="C1247" t="n">
        <v>219</v>
      </c>
      <c r="D1247" t="n">
        <v>105.5</v>
      </c>
    </row>
    <row r="1248">
      <c r="A1248" t="n">
        <v>47352</v>
      </c>
      <c r="B1248" t="inlineStr">
        <is>
          <t>豪展二</t>
        </is>
      </c>
      <c r="C1248" t="n">
        <v>233</v>
      </c>
      <c r="D1248" t="n">
        <v>99</v>
      </c>
    </row>
    <row r="1249">
      <c r="A1249" t="n">
        <v>47361</v>
      </c>
      <c r="B1249" t="inlineStr">
        <is>
          <t>泰博一</t>
        </is>
      </c>
      <c r="C1249" t="n">
        <v>171</v>
      </c>
      <c r="D1249" t="n">
        <v>107</v>
      </c>
    </row>
    <row r="1250">
      <c r="A1250" t="n">
        <v>47362</v>
      </c>
      <c r="B1250" t="inlineStr">
        <is>
          <t>泰博二</t>
        </is>
      </c>
      <c r="C1250" t="n">
        <v>195</v>
      </c>
      <c r="D1250" t="n">
        <v>100</v>
      </c>
    </row>
    <row r="1251">
      <c r="A1251" t="n">
        <v>47363</v>
      </c>
      <c r="B1251" t="inlineStr">
        <is>
          <t>泰博三</t>
        </is>
      </c>
      <c r="C1251" t="n">
        <v>238</v>
      </c>
      <c r="D1251" t="n">
        <v>111</v>
      </c>
    </row>
    <row r="1252">
      <c r="A1252" t="n">
        <v>47371</v>
      </c>
      <c r="B1252" t="inlineStr">
        <is>
          <t>華廣一</t>
        </is>
      </c>
      <c r="C1252" t="n">
        <v>108</v>
      </c>
      <c r="D1252" t="n">
        <v>94.8</v>
      </c>
    </row>
    <row r="1253">
      <c r="A1253" t="n">
        <v>47391</v>
      </c>
      <c r="B1253" t="inlineStr">
        <is>
          <t>康普一</t>
        </is>
      </c>
      <c r="C1253" t="n">
        <v>343</v>
      </c>
      <c r="D1253" t="n">
        <v>104.35</v>
      </c>
    </row>
    <row r="1254">
      <c r="A1254" t="n">
        <v>47392</v>
      </c>
      <c r="B1254" t="inlineStr">
        <is>
          <t>康普二</t>
        </is>
      </c>
      <c r="C1254" t="n">
        <v>273</v>
      </c>
      <c r="D1254" t="n">
        <v>102</v>
      </c>
    </row>
    <row r="1255">
      <c r="A1255" t="n">
        <v>47393</v>
      </c>
      <c r="B1255" t="inlineStr">
        <is>
          <t>康普三</t>
        </is>
      </c>
      <c r="C1255" t="n">
        <v>161</v>
      </c>
      <c r="D1255" t="n">
        <v>98.05</v>
      </c>
    </row>
    <row r="1256">
      <c r="A1256" t="n">
        <v>47394</v>
      </c>
      <c r="B1256" t="inlineStr">
        <is>
          <t>康普四</t>
        </is>
      </c>
      <c r="C1256" t="n">
        <v>167</v>
      </c>
      <c r="D1256" t="n">
        <v>110.45</v>
      </c>
      <c r="E1256" t="inlineStr">
        <is>
          <t>H</t>
        </is>
      </c>
      <c r="F1256" s="208" t="n">
        <v>0.04375</v>
      </c>
    </row>
    <row r="1257">
      <c r="A1257" t="n">
        <v>47441</v>
      </c>
      <c r="B1257" t="inlineStr">
        <is>
          <t>皇將一</t>
        </is>
      </c>
      <c r="C1257" t="n">
        <v>138</v>
      </c>
      <c r="D1257" t="n">
        <v>99.45</v>
      </c>
    </row>
    <row r="1258">
      <c r="A1258" t="n">
        <v>47442</v>
      </c>
      <c r="B1258" t="inlineStr">
        <is>
          <t>皇將二</t>
        </is>
      </c>
      <c r="C1258" t="n">
        <v>172</v>
      </c>
      <c r="D1258" t="n">
        <v>100.35</v>
      </c>
    </row>
    <row r="1259">
      <c r="A1259" t="n">
        <v>47451</v>
      </c>
      <c r="B1259" t="inlineStr">
        <is>
          <t>合富一KY</t>
        </is>
      </c>
      <c r="C1259" t="n">
        <v>144.4</v>
      </c>
      <c r="D1259" t="n">
        <v>97.8</v>
      </c>
    </row>
    <row r="1260">
      <c r="A1260" t="n">
        <v>47461</v>
      </c>
      <c r="B1260" t="inlineStr">
        <is>
          <t>台耀一</t>
        </is>
      </c>
      <c r="C1260" t="n">
        <v>176</v>
      </c>
      <c r="D1260" t="n">
        <v>98.84999999999999</v>
      </c>
    </row>
    <row r="1261">
      <c r="A1261" t="n">
        <v>47462</v>
      </c>
      <c r="B1261" t="inlineStr">
        <is>
          <t>台耀二</t>
        </is>
      </c>
      <c r="C1261" t="n">
        <v>140.5</v>
      </c>
      <c r="D1261" t="n">
        <v>91.5</v>
      </c>
    </row>
    <row r="1262">
      <c r="A1262" t="n">
        <v>47463</v>
      </c>
      <c r="B1262" t="inlineStr">
        <is>
          <t>台耀三</t>
        </is>
      </c>
      <c r="C1262" t="n">
        <v>175</v>
      </c>
      <c r="D1262" t="n">
        <v>93.25</v>
      </c>
    </row>
    <row r="1263">
      <c r="A1263" t="n">
        <v>47471</v>
      </c>
      <c r="B1263" t="inlineStr">
        <is>
          <t>強生一</t>
        </is>
      </c>
      <c r="C1263" t="n">
        <v>173</v>
      </c>
      <c r="D1263" t="n">
        <v>99.2</v>
      </c>
      <c r="E1263" t="inlineStr">
        <is>
          <t>L</t>
        </is>
      </c>
      <c r="F1263" s="208" t="n">
        <v>-0.01636093207734251</v>
      </c>
    </row>
    <row r="1264">
      <c r="A1264" t="n">
        <v>47601</v>
      </c>
      <c r="B1264" t="inlineStr">
        <is>
          <t>勤凱一</t>
        </is>
      </c>
      <c r="C1264" t="n">
        <v>213</v>
      </c>
      <c r="D1264" t="n">
        <v>101</v>
      </c>
    </row>
    <row r="1265">
      <c r="A1265" t="n">
        <v>47631</v>
      </c>
      <c r="B1265" t="inlineStr">
        <is>
          <t>材料一KY</t>
        </is>
      </c>
      <c r="C1265" t="n">
        <v>125</v>
      </c>
      <c r="D1265" t="n">
        <v>99</v>
      </c>
    </row>
    <row r="1266">
      <c r="A1266" t="n">
        <v>47632</v>
      </c>
      <c r="B1266" t="inlineStr">
        <is>
          <t>材料二KY</t>
        </is>
      </c>
      <c r="C1266" t="n">
        <v>1035</v>
      </c>
      <c r="D1266" t="n">
        <v>99.09999999999999</v>
      </c>
    </row>
    <row r="1267">
      <c r="A1267" t="n">
        <v>47633</v>
      </c>
      <c r="B1267" t="inlineStr">
        <is>
          <t>材料三KY</t>
        </is>
      </c>
      <c r="C1267" t="n">
        <v>601</v>
      </c>
      <c r="D1267" t="n">
        <v>100</v>
      </c>
    </row>
    <row r="1268">
      <c r="A1268" t="n">
        <v>47641</v>
      </c>
      <c r="B1268" t="inlineStr">
        <is>
          <t>雙鍵一</t>
        </is>
      </c>
      <c r="C1268" t="n">
        <v>131.9</v>
      </c>
      <c r="D1268" t="n">
        <v>99.75</v>
      </c>
    </row>
    <row r="1269">
      <c r="A1269" t="n">
        <v>47721</v>
      </c>
      <c r="B1269" t="inlineStr">
        <is>
          <t>台特化一</t>
        </is>
      </c>
      <c r="C1269" t="n">
        <v>143</v>
      </c>
      <c r="D1269" t="n">
        <v>111.1</v>
      </c>
      <c r="F1269" s="208" t="inlineStr"/>
    </row>
    <row r="1270">
      <c r="A1270" t="n">
        <v>48031</v>
      </c>
      <c r="B1270" t="inlineStr">
        <is>
          <t>VHQ一KY</t>
        </is>
      </c>
      <c r="C1270" t="n">
        <v>145</v>
      </c>
      <c r="D1270" t="n">
        <v>94</v>
      </c>
    </row>
    <row r="1271">
      <c r="A1271" t="n">
        <v>48032</v>
      </c>
      <c r="B1271" t="inlineStr">
        <is>
          <t>VHQ二KY</t>
        </is>
      </c>
      <c r="C1271" t="n">
        <v>101.65</v>
      </c>
      <c r="D1271" t="n">
        <v>20.05</v>
      </c>
    </row>
    <row r="1272">
      <c r="A1272" t="n">
        <v>48041</v>
      </c>
      <c r="B1272" t="inlineStr">
        <is>
          <t>大略一KY</t>
        </is>
      </c>
      <c r="C1272" t="n">
        <v>102.45</v>
      </c>
      <c r="D1272" t="n">
        <v>87.90000000000001</v>
      </c>
    </row>
    <row r="1273">
      <c r="A1273" t="n">
        <v>48061</v>
      </c>
      <c r="B1273" t="inlineStr">
        <is>
          <t>昇華一</t>
        </is>
      </c>
      <c r="C1273" t="n">
        <v>130</v>
      </c>
      <c r="D1273" t="n">
        <v>95</v>
      </c>
    </row>
    <row r="1274">
      <c r="A1274" t="n">
        <v>48062</v>
      </c>
      <c r="B1274" t="inlineStr">
        <is>
          <t>昇華二</t>
        </is>
      </c>
      <c r="C1274" t="n">
        <v>129.5</v>
      </c>
      <c r="D1274" t="n">
        <v>61.25</v>
      </c>
    </row>
    <row r="1275">
      <c r="A1275" t="n">
        <v>48071</v>
      </c>
      <c r="B1275" t="inlineStr">
        <is>
          <t>日成一KY</t>
        </is>
      </c>
      <c r="C1275" t="n">
        <v>106.95</v>
      </c>
      <c r="D1275" t="n">
        <v>95</v>
      </c>
    </row>
    <row r="1276">
      <c r="A1276" t="n">
        <v>49031</v>
      </c>
      <c r="B1276" t="inlineStr">
        <is>
          <t>聯光一</t>
        </is>
      </c>
      <c r="C1276" t="n">
        <v>138</v>
      </c>
      <c r="D1276" t="n">
        <v>101</v>
      </c>
    </row>
    <row r="1277">
      <c r="A1277" t="n">
        <v>49061</v>
      </c>
      <c r="B1277" t="inlineStr">
        <is>
          <t xml:space="preserve">正文一    </t>
        </is>
      </c>
      <c r="C1277" t="n">
        <v>210</v>
      </c>
      <c r="D1277" t="n">
        <v>108.6</v>
      </c>
    </row>
    <row r="1278">
      <c r="A1278" t="n">
        <v>49062</v>
      </c>
      <c r="B1278" t="inlineStr">
        <is>
          <t>正文二</t>
        </is>
      </c>
      <c r="C1278" t="n">
        <v>170</v>
      </c>
      <c r="D1278" t="n">
        <v>96</v>
      </c>
    </row>
    <row r="1279">
      <c r="A1279" t="n">
        <v>49063</v>
      </c>
      <c r="B1279" t="inlineStr">
        <is>
          <t>正文三</t>
        </is>
      </c>
      <c r="C1279" t="n">
        <v>133.3</v>
      </c>
      <c r="D1279" t="n">
        <v>93.7</v>
      </c>
    </row>
    <row r="1280">
      <c r="A1280" t="n">
        <v>49064</v>
      </c>
      <c r="B1280" t="inlineStr">
        <is>
          <t>正文四</t>
        </is>
      </c>
      <c r="C1280" t="n">
        <v>190</v>
      </c>
      <c r="D1280" t="n">
        <v>102</v>
      </c>
    </row>
    <row r="1281">
      <c r="A1281" t="n">
        <v>49065</v>
      </c>
      <c r="B1281" t="inlineStr">
        <is>
          <t>正文五</t>
        </is>
      </c>
      <c r="C1281" t="n">
        <v>139</v>
      </c>
      <c r="D1281" t="n">
        <v>98.5</v>
      </c>
    </row>
    <row r="1282">
      <c r="A1282" t="n">
        <v>49066</v>
      </c>
      <c r="B1282" t="inlineStr">
        <is>
          <t>正文六</t>
        </is>
      </c>
      <c r="C1282" t="n">
        <v>163</v>
      </c>
      <c r="D1282" t="n">
        <v>100.25</v>
      </c>
    </row>
    <row r="1283">
      <c r="A1283" t="n">
        <v>49091</v>
      </c>
      <c r="B1283" t="inlineStr">
        <is>
          <t>復興一</t>
        </is>
      </c>
      <c r="C1283" t="n">
        <v>153</v>
      </c>
      <c r="D1283" t="n">
        <v>107</v>
      </c>
    </row>
    <row r="1284">
      <c r="A1284" t="n">
        <v>49092</v>
      </c>
      <c r="B1284" t="inlineStr">
        <is>
          <t>復興二</t>
        </is>
      </c>
      <c r="C1284" t="n">
        <v>195</v>
      </c>
      <c r="D1284" t="n">
        <v>100</v>
      </c>
    </row>
    <row r="1285">
      <c r="A1285" t="n">
        <v>49093</v>
      </c>
      <c r="B1285" t="inlineStr">
        <is>
          <t>復興三</t>
        </is>
      </c>
      <c r="C1285" t="n">
        <v>148</v>
      </c>
      <c r="D1285" t="n">
        <v>87.2</v>
      </c>
    </row>
    <row r="1286">
      <c r="A1286" t="n">
        <v>49094</v>
      </c>
      <c r="B1286" t="inlineStr">
        <is>
          <t>復興四</t>
        </is>
      </c>
      <c r="C1286" t="n">
        <v>144</v>
      </c>
      <c r="D1286" t="n">
        <v>94.5</v>
      </c>
    </row>
    <row r="1287">
      <c r="A1287" t="n">
        <v>49101</v>
      </c>
      <c r="B1287" t="inlineStr">
        <is>
          <t>陽慶一</t>
        </is>
      </c>
      <c r="C1287" t="n">
        <v>114</v>
      </c>
      <c r="D1287" t="n">
        <v>38</v>
      </c>
    </row>
    <row r="1288">
      <c r="A1288" t="n">
        <v>49121</v>
      </c>
      <c r="B1288" t="inlineStr">
        <is>
          <t>聯控一</t>
        </is>
      </c>
      <c r="C1288" t="n">
        <v>183</v>
      </c>
      <c r="D1288" t="n">
        <v>107</v>
      </c>
    </row>
    <row r="1289">
      <c r="A1289" t="n">
        <v>49122</v>
      </c>
      <c r="B1289" t="inlineStr">
        <is>
          <t>聯德控股二KY</t>
        </is>
      </c>
      <c r="C1289" t="n">
        <v>126</v>
      </c>
      <c r="D1289" t="n">
        <v>97.2</v>
      </c>
    </row>
    <row r="1290">
      <c r="A1290" t="n">
        <v>49123</v>
      </c>
      <c r="B1290" t="inlineStr">
        <is>
          <t>聯德控股三KY</t>
        </is>
      </c>
      <c r="C1290" t="n">
        <v>210</v>
      </c>
      <c r="D1290" t="n">
        <v>110</v>
      </c>
    </row>
    <row r="1291">
      <c r="A1291" t="n">
        <v>49124</v>
      </c>
      <c r="B1291" t="inlineStr">
        <is>
          <t>聯德控股四KY</t>
        </is>
      </c>
      <c r="C1291" t="n">
        <v>118.5</v>
      </c>
      <c r="D1291" t="n">
        <v>92</v>
      </c>
    </row>
    <row r="1292">
      <c r="A1292" t="n">
        <v>49161</v>
      </c>
      <c r="B1292" t="inlineStr">
        <is>
          <t>事欣科一</t>
        </is>
      </c>
      <c r="C1292" t="n">
        <v>186</v>
      </c>
      <c r="D1292" t="n">
        <v>98.5</v>
      </c>
    </row>
    <row r="1293">
      <c r="A1293" t="n">
        <v>49162</v>
      </c>
      <c r="B1293" t="inlineStr">
        <is>
          <t>事欣科二</t>
        </is>
      </c>
      <c r="C1293" t="n">
        <v>128.7</v>
      </c>
      <c r="D1293" t="n">
        <v>77.05</v>
      </c>
    </row>
    <row r="1294">
      <c r="A1294" t="n">
        <v>49163</v>
      </c>
      <c r="B1294" t="inlineStr">
        <is>
          <t>事欣科三</t>
        </is>
      </c>
      <c r="C1294" t="n">
        <v>215</v>
      </c>
      <c r="D1294" t="n">
        <v>93.2</v>
      </c>
    </row>
    <row r="1295">
      <c r="A1295" t="n">
        <v>49164</v>
      </c>
      <c r="B1295" t="inlineStr">
        <is>
          <t>事欣科四</t>
        </is>
      </c>
      <c r="C1295" t="n">
        <v>199</v>
      </c>
      <c r="D1295" t="n">
        <v>99.55</v>
      </c>
    </row>
    <row r="1296">
      <c r="A1296" t="n">
        <v>49165</v>
      </c>
      <c r="B1296" t="inlineStr">
        <is>
          <t>事欣科五</t>
        </is>
      </c>
      <c r="C1296" t="n">
        <v>207</v>
      </c>
      <c r="D1296" t="n">
        <v>99</v>
      </c>
      <c r="E1296" t="inlineStr">
        <is>
          <t>H</t>
        </is>
      </c>
      <c r="F1296" s="208" t="n">
        <v>0.2248520710059172</v>
      </c>
    </row>
    <row r="1297">
      <c r="A1297" t="n">
        <v>49191</v>
      </c>
      <c r="B1297" t="inlineStr">
        <is>
          <t>新唐一</t>
        </is>
      </c>
      <c r="C1297" t="n">
        <v>450</v>
      </c>
      <c r="D1297" t="n">
        <v>97</v>
      </c>
    </row>
    <row r="1298">
      <c r="A1298" t="n">
        <v>49231</v>
      </c>
      <c r="B1298" t="inlineStr">
        <is>
          <t>力士一</t>
        </is>
      </c>
      <c r="C1298" t="n">
        <v>142.35</v>
      </c>
      <c r="D1298" t="n">
        <v>96.3</v>
      </c>
      <c r="E1298" t="inlineStr">
        <is>
          <t>H</t>
        </is>
      </c>
      <c r="F1298" s="208" t="n">
        <v>0.1530984204131227</v>
      </c>
    </row>
    <row r="1299">
      <c r="A1299" t="n">
        <v>49241</v>
      </c>
      <c r="B1299" t="inlineStr">
        <is>
          <t>欣厚一</t>
        </is>
      </c>
      <c r="C1299" t="n">
        <v>127.2</v>
      </c>
      <c r="D1299" t="n">
        <v>92.2</v>
      </c>
    </row>
    <row r="1300">
      <c r="A1300" t="n">
        <v>49271</v>
      </c>
      <c r="B1300" t="inlineStr">
        <is>
          <t>泰鼎一</t>
        </is>
      </c>
      <c r="C1300" t="n">
        <v>142.6</v>
      </c>
      <c r="D1300" t="n">
        <v>103</v>
      </c>
    </row>
    <row r="1301">
      <c r="A1301" t="n">
        <v>49272</v>
      </c>
      <c r="B1301" t="inlineStr">
        <is>
          <t>泰鼎二KY</t>
        </is>
      </c>
      <c r="C1301" t="n">
        <v>163</v>
      </c>
      <c r="D1301" t="n">
        <v>95.59999999999999</v>
      </c>
    </row>
    <row r="1302">
      <c r="A1302" t="n">
        <v>49273</v>
      </c>
      <c r="B1302" t="inlineStr">
        <is>
          <t>泰鼎三KY</t>
        </is>
      </c>
      <c r="C1302" t="n">
        <v>221</v>
      </c>
      <c r="D1302" t="n">
        <v>105.55</v>
      </c>
    </row>
    <row r="1303">
      <c r="A1303" t="n">
        <v>49331</v>
      </c>
      <c r="B1303" t="inlineStr">
        <is>
          <t>友輝一</t>
        </is>
      </c>
      <c r="C1303" t="n">
        <v>116</v>
      </c>
      <c r="D1303" t="n">
        <v>97</v>
      </c>
    </row>
    <row r="1304">
      <c r="A1304" t="n">
        <v>49391</v>
      </c>
      <c r="B1304" t="inlineStr">
        <is>
          <t>亞電一</t>
        </is>
      </c>
      <c r="C1304" t="n">
        <v>134</v>
      </c>
      <c r="D1304" t="n">
        <v>99.7</v>
      </c>
    </row>
    <row r="1305">
      <c r="A1305" t="n">
        <v>49392</v>
      </c>
      <c r="B1305" t="inlineStr">
        <is>
          <t>亞電二</t>
        </is>
      </c>
      <c r="C1305" t="n">
        <v>147.2</v>
      </c>
      <c r="D1305" t="n">
        <v>101.5</v>
      </c>
    </row>
    <row r="1306">
      <c r="A1306" t="n">
        <v>49431</v>
      </c>
      <c r="B1306" t="inlineStr">
        <is>
          <t>康控一KY</t>
        </is>
      </c>
      <c r="C1306" t="n">
        <v>180</v>
      </c>
      <c r="D1306" t="n">
        <v>97.3</v>
      </c>
    </row>
    <row r="1307">
      <c r="A1307" t="n">
        <v>49441</v>
      </c>
      <c r="B1307" t="inlineStr">
        <is>
          <t>兆遠一</t>
        </is>
      </c>
      <c r="C1307" t="n">
        <v>148</v>
      </c>
      <c r="D1307" t="n">
        <v>90</v>
      </c>
    </row>
    <row r="1308">
      <c r="A1308" t="n">
        <v>49561</v>
      </c>
      <c r="B1308" t="inlineStr">
        <is>
          <t>光鋐一</t>
        </is>
      </c>
      <c r="C1308" t="n">
        <v>100.8</v>
      </c>
      <c r="D1308" t="n">
        <v>93.09999999999999</v>
      </c>
    </row>
    <row r="1309">
      <c r="A1309" t="n">
        <v>49671</v>
      </c>
      <c r="B1309" t="inlineStr">
        <is>
          <t>十銓一</t>
        </is>
      </c>
      <c r="C1309" t="n">
        <v>184</v>
      </c>
      <c r="D1309" t="n">
        <v>107</v>
      </c>
    </row>
    <row r="1310">
      <c r="A1310" t="n">
        <v>49672</v>
      </c>
      <c r="B1310" t="inlineStr">
        <is>
          <t>十銓二</t>
        </is>
      </c>
      <c r="C1310" t="n">
        <v>187</v>
      </c>
      <c r="D1310" t="n">
        <v>105</v>
      </c>
    </row>
    <row r="1311">
      <c r="A1311" t="n">
        <v>49673</v>
      </c>
      <c r="B1311" t="inlineStr">
        <is>
          <t>十銓三</t>
        </is>
      </c>
      <c r="C1311" t="n">
        <v>214</v>
      </c>
      <c r="D1311" t="n">
        <v>114</v>
      </c>
    </row>
    <row r="1312">
      <c r="A1312" t="n">
        <v>49674</v>
      </c>
      <c r="B1312" t="inlineStr">
        <is>
          <t>十銓四</t>
        </is>
      </c>
      <c r="C1312" t="n">
        <v>217</v>
      </c>
      <c r="D1312" t="n">
        <v>130</v>
      </c>
      <c r="E1312" t="inlineStr">
        <is>
          <t>H</t>
        </is>
      </c>
      <c r="F1312" s="208" t="n">
        <v>0.04830917874396135</v>
      </c>
    </row>
    <row r="1313">
      <c r="A1313" t="n">
        <v>49681</v>
      </c>
      <c r="B1313" t="inlineStr">
        <is>
          <t>立積一</t>
        </is>
      </c>
      <c r="C1313" t="n">
        <v>208</v>
      </c>
      <c r="D1313" t="n">
        <v>99.55</v>
      </c>
    </row>
    <row r="1314">
      <c r="A1314" t="n">
        <v>49711</v>
      </c>
      <c r="B1314" t="inlineStr">
        <is>
          <t>英特一</t>
        </is>
      </c>
      <c r="C1314" t="n">
        <v>195</v>
      </c>
      <c r="D1314" t="n">
        <v>105</v>
      </c>
    </row>
    <row r="1315">
      <c r="A1315" t="n">
        <v>49712</v>
      </c>
      <c r="B1315" t="inlineStr">
        <is>
          <t>IET二KY</t>
        </is>
      </c>
      <c r="C1315" t="n">
        <v>302</v>
      </c>
      <c r="D1315" t="n">
        <v>104</v>
      </c>
    </row>
    <row r="1316">
      <c r="A1316" t="n">
        <v>49741</v>
      </c>
      <c r="B1316" t="inlineStr">
        <is>
          <t>亞泰一</t>
        </is>
      </c>
      <c r="C1316" t="n">
        <v>168</v>
      </c>
      <c r="D1316" t="n">
        <v>100.1</v>
      </c>
    </row>
    <row r="1317">
      <c r="A1317" t="n">
        <v>49742</v>
      </c>
      <c r="B1317" t="inlineStr">
        <is>
          <t>亞泰二</t>
        </is>
      </c>
      <c r="C1317" t="n">
        <v>123</v>
      </c>
      <c r="D1317" t="n">
        <v>98.55</v>
      </c>
    </row>
    <row r="1318">
      <c r="A1318" t="n">
        <v>49771</v>
      </c>
      <c r="B1318" t="inlineStr">
        <is>
          <t>眾達一KY</t>
        </is>
      </c>
      <c r="C1318" t="n">
        <v>174</v>
      </c>
      <c r="D1318" t="n">
        <v>107.05</v>
      </c>
    </row>
    <row r="1319">
      <c r="A1319" t="n">
        <v>49791</v>
      </c>
      <c r="B1319" t="inlineStr">
        <is>
          <t>華星光一</t>
        </is>
      </c>
      <c r="C1319" t="n">
        <v>112</v>
      </c>
      <c r="D1319" t="n">
        <v>98</v>
      </c>
    </row>
    <row r="1320">
      <c r="A1320" t="n">
        <v>49792</v>
      </c>
      <c r="B1320" t="inlineStr">
        <is>
          <t>華星光二</t>
        </is>
      </c>
      <c r="C1320" t="n">
        <v>125</v>
      </c>
      <c r="D1320" t="n">
        <v>86</v>
      </c>
    </row>
    <row r="1321">
      <c r="A1321" t="n">
        <v>49793</v>
      </c>
      <c r="B1321" t="inlineStr">
        <is>
          <t>華星光三</t>
        </is>
      </c>
      <c r="C1321" t="n">
        <v>402</v>
      </c>
      <c r="D1321" t="n">
        <v>101.5</v>
      </c>
      <c r="E1321" t="inlineStr">
        <is>
          <t>H</t>
        </is>
      </c>
      <c r="F1321" s="208" t="n">
        <v>0.02813299232736573</v>
      </c>
    </row>
    <row r="1322">
      <c r="A1322" t="n">
        <v>49794</v>
      </c>
      <c r="B1322" t="inlineStr">
        <is>
          <t>華星光四</t>
        </is>
      </c>
      <c r="C1322" t="n">
        <v>345</v>
      </c>
      <c r="D1322" t="n">
        <v>99</v>
      </c>
      <c r="E1322" t="inlineStr">
        <is>
          <t>H</t>
        </is>
      </c>
      <c r="F1322" s="208" t="n">
        <v>0.03603603603603604</v>
      </c>
    </row>
    <row r="1323">
      <c r="A1323" t="n">
        <v>49911</v>
      </c>
      <c r="B1323" t="inlineStr">
        <is>
          <t>環宇一KY</t>
        </is>
      </c>
      <c r="C1323" t="n">
        <v>177</v>
      </c>
      <c r="D1323" t="n">
        <v>106</v>
      </c>
    </row>
    <row r="1324">
      <c r="A1324" t="n">
        <v>49912</v>
      </c>
      <c r="B1324" t="inlineStr">
        <is>
          <t>環宇二KY</t>
        </is>
      </c>
      <c r="C1324" t="n">
        <v>171</v>
      </c>
      <c r="D1324" t="n">
        <v>101</v>
      </c>
    </row>
    <row r="1325">
      <c r="A1325" t="n">
        <v>49951</v>
      </c>
      <c r="B1325" t="inlineStr">
        <is>
          <t>晶達一</t>
        </is>
      </c>
      <c r="C1325" t="n">
        <v>148.6</v>
      </c>
      <c r="D1325" t="n">
        <v>100.25</v>
      </c>
    </row>
    <row r="1326">
      <c r="A1326" t="n">
        <v>50091</v>
      </c>
      <c r="B1326" t="inlineStr">
        <is>
          <t>榮剛一</t>
        </is>
      </c>
      <c r="C1326" t="n">
        <v>304</v>
      </c>
      <c r="D1326" t="n">
        <v>95</v>
      </c>
    </row>
    <row r="1327">
      <c r="A1327" t="n">
        <v>50092</v>
      </c>
      <c r="B1327" t="inlineStr">
        <is>
          <t>榮剛二</t>
        </is>
      </c>
      <c r="C1327" t="n">
        <v>139.5</v>
      </c>
      <c r="D1327" t="n">
        <v>90</v>
      </c>
    </row>
    <row r="1328">
      <c r="A1328" t="n">
        <v>50093</v>
      </c>
      <c r="B1328" t="inlineStr">
        <is>
          <t>榮剛三</t>
        </is>
      </c>
      <c r="C1328" t="n">
        <v>183</v>
      </c>
      <c r="D1328" t="n">
        <v>108</v>
      </c>
    </row>
    <row r="1329">
      <c r="A1329" t="n">
        <v>50094</v>
      </c>
      <c r="B1329" t="inlineStr">
        <is>
          <t>榮剛四</t>
        </is>
      </c>
      <c r="C1329" t="n">
        <v>142.3</v>
      </c>
      <c r="D1329" t="n">
        <v>99.59999999999999</v>
      </c>
    </row>
    <row r="1330">
      <c r="A1330" t="n">
        <v>50095</v>
      </c>
      <c r="B1330" t="inlineStr">
        <is>
          <t>榮剛五</t>
        </is>
      </c>
      <c r="C1330" t="n">
        <v>145</v>
      </c>
      <c r="D1330" t="n">
        <v>98.7</v>
      </c>
    </row>
    <row r="1331">
      <c r="A1331" t="n">
        <v>50096</v>
      </c>
      <c r="B1331" t="inlineStr">
        <is>
          <t>榮剛六</t>
        </is>
      </c>
      <c r="C1331" t="n">
        <v>186</v>
      </c>
      <c r="D1331" t="n">
        <v>97</v>
      </c>
    </row>
    <row r="1332">
      <c r="A1332" t="n">
        <v>50097</v>
      </c>
      <c r="B1332" t="inlineStr">
        <is>
          <t>榮剛七</t>
        </is>
      </c>
      <c r="C1332" t="n">
        <v>119.7</v>
      </c>
      <c r="D1332" t="n">
        <v>97.45</v>
      </c>
    </row>
    <row r="1333">
      <c r="A1333" t="n">
        <v>50111</v>
      </c>
      <c r="B1333" t="inlineStr">
        <is>
          <t>久陽一</t>
        </is>
      </c>
      <c r="C1333" t="n">
        <v>118</v>
      </c>
      <c r="D1333" t="n">
        <v>98</v>
      </c>
    </row>
    <row r="1334">
      <c r="A1334" t="n">
        <v>50112</v>
      </c>
      <c r="B1334" t="inlineStr">
        <is>
          <t>久陽二</t>
        </is>
      </c>
      <c r="C1334" t="n">
        <v>253</v>
      </c>
      <c r="D1334" t="n">
        <v>101</v>
      </c>
    </row>
    <row r="1335">
      <c r="A1335" t="n">
        <v>50113</v>
      </c>
      <c r="B1335" t="inlineStr">
        <is>
          <t>久陽三</t>
        </is>
      </c>
      <c r="C1335" t="n">
        <v>237</v>
      </c>
      <c r="D1335" t="n">
        <v>85</v>
      </c>
    </row>
    <row r="1336">
      <c r="A1336" t="n">
        <v>50114</v>
      </c>
      <c r="B1336" t="inlineStr">
        <is>
          <t>久陽四</t>
        </is>
      </c>
      <c r="C1336" t="n">
        <v>112.7</v>
      </c>
      <c r="D1336" t="n">
        <v>90</v>
      </c>
    </row>
    <row r="1337">
      <c r="A1337" t="n">
        <v>50141</v>
      </c>
      <c r="B1337" t="inlineStr">
        <is>
          <t>建錩一</t>
        </is>
      </c>
      <c r="C1337" t="n">
        <v>185</v>
      </c>
      <c r="D1337" t="n">
        <v>78.05</v>
      </c>
    </row>
    <row r="1338">
      <c r="A1338" t="n">
        <v>50151</v>
      </c>
      <c r="B1338" t="inlineStr">
        <is>
          <t>華祺一</t>
        </is>
      </c>
      <c r="C1338" t="n">
        <v>123</v>
      </c>
      <c r="D1338" t="n">
        <v>95</v>
      </c>
    </row>
    <row r="1339">
      <c r="A1339" t="n">
        <v>52011</v>
      </c>
      <c r="B1339" t="inlineStr">
        <is>
          <t>凱衛一</t>
        </is>
      </c>
      <c r="C1339" t="n">
        <v>134</v>
      </c>
      <c r="D1339" t="n">
        <v>108</v>
      </c>
      <c r="F1339" s="208" t="inlineStr"/>
    </row>
    <row r="1340">
      <c r="A1340" t="n">
        <v>52031</v>
      </c>
      <c r="B1340" t="inlineStr">
        <is>
          <t>訊連一</t>
        </is>
      </c>
      <c r="C1340" t="n">
        <v>230</v>
      </c>
      <c r="D1340" t="n">
        <v>106</v>
      </c>
    </row>
    <row r="1341">
      <c r="A1341" t="n">
        <v>52041</v>
      </c>
      <c r="B1341" t="inlineStr">
        <is>
          <t>得捷一</t>
        </is>
      </c>
      <c r="C1341" t="n">
        <v>100</v>
      </c>
      <c r="D1341" t="n">
        <v>38.15</v>
      </c>
    </row>
    <row r="1342">
      <c r="A1342" t="n">
        <v>52071</v>
      </c>
      <c r="B1342" t="inlineStr">
        <is>
          <t>飛雅一</t>
        </is>
      </c>
      <c r="C1342" t="n">
        <v>115</v>
      </c>
      <c r="D1342" t="n">
        <v>83.75</v>
      </c>
    </row>
    <row r="1343">
      <c r="A1343" t="n">
        <v>52091</v>
      </c>
      <c r="B1343" t="inlineStr">
        <is>
          <t>新鼎一</t>
        </is>
      </c>
      <c r="C1343" t="n">
        <v>128.2</v>
      </c>
      <c r="D1343" t="n">
        <v>93.5</v>
      </c>
    </row>
    <row r="1344">
      <c r="A1344" t="n">
        <v>52111</v>
      </c>
      <c r="B1344" t="inlineStr">
        <is>
          <t>蒙恬一</t>
        </is>
      </c>
      <c r="C1344" t="n">
        <v>201</v>
      </c>
      <c r="D1344" t="n">
        <v>100.5</v>
      </c>
    </row>
    <row r="1345">
      <c r="A1345" t="n">
        <v>52121</v>
      </c>
      <c r="B1345" t="inlineStr">
        <is>
          <t>凌網一</t>
        </is>
      </c>
      <c r="C1345" t="n">
        <v>109</v>
      </c>
      <c r="D1345" t="n">
        <v>93.90000000000001</v>
      </c>
    </row>
    <row r="1346">
      <c r="A1346" t="n">
        <v>52131</v>
      </c>
      <c r="B1346" t="inlineStr">
        <is>
          <t>捷鴻一</t>
        </is>
      </c>
      <c r="C1346" t="n">
        <v>176</v>
      </c>
      <c r="D1346" t="n">
        <v>98</v>
      </c>
    </row>
    <row r="1347">
      <c r="A1347" t="n">
        <v>52132</v>
      </c>
      <c r="B1347" t="inlineStr">
        <is>
          <t>亞昕二</t>
        </is>
      </c>
      <c r="C1347" t="n">
        <v>144</v>
      </c>
      <c r="D1347" t="n">
        <v>101</v>
      </c>
    </row>
    <row r="1348">
      <c r="A1348" t="n">
        <v>52133</v>
      </c>
      <c r="B1348" t="inlineStr">
        <is>
          <t>亞昕三</t>
        </is>
      </c>
      <c r="C1348" t="n">
        <v>108</v>
      </c>
      <c r="D1348" t="n">
        <v>98.3</v>
      </c>
    </row>
    <row r="1349">
      <c r="A1349" t="n">
        <v>52134</v>
      </c>
      <c r="B1349" t="inlineStr">
        <is>
          <t>亞昕四</t>
        </is>
      </c>
      <c r="C1349" t="n">
        <v>104.5</v>
      </c>
      <c r="D1349" t="n">
        <v>99.09999999999999</v>
      </c>
    </row>
    <row r="1350">
      <c r="A1350" t="n">
        <v>52135</v>
      </c>
      <c r="B1350" t="inlineStr">
        <is>
          <t>亞昕五</t>
        </is>
      </c>
      <c r="C1350" t="n">
        <v>122.5</v>
      </c>
      <c r="D1350" t="n">
        <v>101</v>
      </c>
    </row>
    <row r="1351">
      <c r="A1351" t="n">
        <v>52136</v>
      </c>
      <c r="B1351" t="inlineStr">
        <is>
          <t>亞昕六</t>
        </is>
      </c>
      <c r="C1351" t="n">
        <v>180</v>
      </c>
      <c r="D1351" t="n">
        <v>104.2</v>
      </c>
    </row>
    <row r="1352">
      <c r="A1352" t="n">
        <v>52137</v>
      </c>
      <c r="B1352" t="inlineStr">
        <is>
          <t>亞昕七</t>
        </is>
      </c>
      <c r="C1352" t="n">
        <v>448</v>
      </c>
      <c r="D1352" t="n">
        <v>102</v>
      </c>
    </row>
    <row r="1353">
      <c r="A1353" t="n">
        <v>52151</v>
      </c>
      <c r="B1353" t="inlineStr">
        <is>
          <t>科嘉一KY</t>
        </is>
      </c>
      <c r="C1353" t="n">
        <v>115</v>
      </c>
      <c r="D1353" t="n">
        <v>99.55</v>
      </c>
    </row>
    <row r="1354">
      <c r="A1354" t="n">
        <v>52231</v>
      </c>
      <c r="B1354" t="inlineStr">
        <is>
          <t>安力一KY</t>
        </is>
      </c>
      <c r="C1354" t="n">
        <v>157</v>
      </c>
      <c r="D1354" t="n">
        <v>95.5</v>
      </c>
    </row>
    <row r="1355">
      <c r="A1355" t="n">
        <v>52251</v>
      </c>
      <c r="B1355" t="inlineStr">
        <is>
          <t>東科一KY</t>
        </is>
      </c>
      <c r="C1355" t="n">
        <v>456</v>
      </c>
      <c r="D1355" t="n">
        <v>104.1</v>
      </c>
    </row>
    <row r="1356">
      <c r="A1356" t="n">
        <v>52301</v>
      </c>
      <c r="B1356" t="inlineStr">
        <is>
          <t>雷笛克光學一</t>
        </is>
      </c>
      <c r="C1356" t="n">
        <v>138.9</v>
      </c>
      <c r="D1356" t="n">
        <v>100.75</v>
      </c>
    </row>
    <row r="1357">
      <c r="A1357" t="n">
        <v>52302</v>
      </c>
      <c r="B1357" t="inlineStr">
        <is>
          <t>雷笛克光學二</t>
        </is>
      </c>
      <c r="C1357" t="n">
        <v>125</v>
      </c>
      <c r="D1357" t="n">
        <v>99.59999999999999</v>
      </c>
    </row>
    <row r="1358">
      <c r="A1358" t="n">
        <v>52303</v>
      </c>
      <c r="B1358" t="inlineStr">
        <is>
          <t>雷笛克光學三</t>
        </is>
      </c>
      <c r="C1358" t="n">
        <v>197</v>
      </c>
      <c r="D1358" t="n">
        <v>102</v>
      </c>
    </row>
    <row r="1359">
      <c r="A1359" t="n">
        <v>52441</v>
      </c>
      <c r="B1359" t="inlineStr">
        <is>
          <t>弘凱一</t>
        </is>
      </c>
      <c r="C1359" t="n">
        <v>123</v>
      </c>
      <c r="D1359" t="n">
        <v>94.7</v>
      </c>
    </row>
    <row r="1360">
      <c r="A1360" t="n">
        <v>52451</v>
      </c>
      <c r="B1360" t="inlineStr">
        <is>
          <t>智晶一</t>
        </is>
      </c>
      <c r="C1360" t="n">
        <v>122</v>
      </c>
      <c r="D1360" t="n">
        <v>99.05</v>
      </c>
    </row>
    <row r="1361">
      <c r="A1361" t="n">
        <v>52452</v>
      </c>
      <c r="B1361" t="inlineStr">
        <is>
          <t>智晶二</t>
        </is>
      </c>
      <c r="C1361" t="n">
        <v>104.45</v>
      </c>
      <c r="D1361" t="n">
        <v>87.3</v>
      </c>
    </row>
    <row r="1362">
      <c r="A1362" t="n">
        <v>52551</v>
      </c>
      <c r="B1362" t="inlineStr">
        <is>
          <t>美桀一</t>
        </is>
      </c>
      <c r="C1362" t="n">
        <v>260</v>
      </c>
      <c r="D1362" t="n">
        <v>100</v>
      </c>
    </row>
    <row r="1363">
      <c r="A1363" t="n">
        <v>52591</v>
      </c>
      <c r="B1363" t="inlineStr">
        <is>
          <t>清惠一</t>
        </is>
      </c>
      <c r="C1363" t="n">
        <v>120</v>
      </c>
      <c r="D1363" t="n">
        <v>94</v>
      </c>
    </row>
    <row r="1364">
      <c r="A1364" t="n">
        <v>52631</v>
      </c>
      <c r="B1364" t="inlineStr">
        <is>
          <t>智崴一</t>
        </is>
      </c>
      <c r="C1364" t="n">
        <v>822</v>
      </c>
      <c r="D1364" t="n">
        <v>107</v>
      </c>
    </row>
    <row r="1365">
      <c r="A1365" t="n">
        <v>52632</v>
      </c>
      <c r="B1365" t="inlineStr">
        <is>
          <t>智崴二</t>
        </is>
      </c>
      <c r="C1365" t="n">
        <v>629</v>
      </c>
      <c r="D1365" t="n">
        <v>103.3</v>
      </c>
    </row>
    <row r="1366">
      <c r="A1366" t="n">
        <v>52633</v>
      </c>
      <c r="B1366" t="inlineStr">
        <is>
          <t>智崴三</t>
        </is>
      </c>
      <c r="C1366" t="n">
        <v>195</v>
      </c>
      <c r="D1366" t="n">
        <v>100.25</v>
      </c>
    </row>
    <row r="1367">
      <c r="A1367" t="n">
        <v>52634</v>
      </c>
      <c r="B1367" t="inlineStr">
        <is>
          <t>智崴四</t>
        </is>
      </c>
      <c r="C1367" t="n">
        <v>193</v>
      </c>
      <c r="D1367" t="n">
        <v>99.90000000000001</v>
      </c>
    </row>
    <row r="1368">
      <c r="A1368" t="n">
        <v>52635</v>
      </c>
      <c r="B1368" t="inlineStr">
        <is>
          <t>智崴五</t>
        </is>
      </c>
      <c r="C1368" t="n">
        <v>181</v>
      </c>
      <c r="D1368" t="n">
        <v>101</v>
      </c>
    </row>
    <row r="1369">
      <c r="A1369" t="n">
        <v>52811</v>
      </c>
      <c r="B1369" t="inlineStr">
        <is>
          <t>大峽谷一KY</t>
        </is>
      </c>
      <c r="C1369" t="n">
        <v>101.75</v>
      </c>
      <c r="D1369" t="n">
        <v>81</v>
      </c>
    </row>
    <row r="1370">
      <c r="A1370" t="n">
        <v>52841</v>
      </c>
      <c r="B1370" t="inlineStr">
        <is>
          <t>jpp一KY</t>
        </is>
      </c>
      <c r="C1370" t="n">
        <v>144</v>
      </c>
      <c r="D1370" t="n">
        <v>102.5</v>
      </c>
    </row>
    <row r="1371">
      <c r="A1371" t="n">
        <v>52842</v>
      </c>
      <c r="B1371" t="inlineStr">
        <is>
          <t>jpp二KY</t>
        </is>
      </c>
      <c r="C1371" t="n">
        <v>124.85</v>
      </c>
      <c r="D1371" t="n">
        <v>87</v>
      </c>
    </row>
    <row r="1372">
      <c r="A1372" t="n">
        <v>52843</v>
      </c>
      <c r="B1372" t="inlineStr">
        <is>
          <t>jpp三KY</t>
        </is>
      </c>
      <c r="C1372" t="n">
        <v>202</v>
      </c>
      <c r="D1372" t="n">
        <v>95.05</v>
      </c>
    </row>
    <row r="1373">
      <c r="A1373" t="n">
        <v>52851</v>
      </c>
      <c r="B1373" t="inlineStr">
        <is>
          <t>界霖一</t>
        </is>
      </c>
      <c r="C1373" t="n">
        <v>260</v>
      </c>
      <c r="D1373" t="n">
        <v>93</v>
      </c>
    </row>
    <row r="1374">
      <c r="A1374" t="n">
        <v>52852</v>
      </c>
      <c r="B1374" t="inlineStr">
        <is>
          <t>界霖二</t>
        </is>
      </c>
      <c r="C1374" t="n">
        <v>177</v>
      </c>
      <c r="D1374" t="n">
        <v>98.09999999999999</v>
      </c>
    </row>
    <row r="1375">
      <c r="A1375" t="n">
        <v>52881</v>
      </c>
      <c r="B1375" t="inlineStr">
        <is>
          <t>豐祥一KY</t>
        </is>
      </c>
      <c r="C1375" t="n">
        <v>170</v>
      </c>
      <c r="D1375" t="n">
        <v>96</v>
      </c>
    </row>
    <row r="1376">
      <c r="A1376" t="n">
        <v>52891</v>
      </c>
      <c r="B1376" t="inlineStr">
        <is>
          <t>宜鼎一</t>
        </is>
      </c>
      <c r="C1376" t="n">
        <v>192</v>
      </c>
      <c r="D1376" t="n">
        <v>103.2</v>
      </c>
    </row>
    <row r="1377">
      <c r="A1377" t="n">
        <v>52911</v>
      </c>
      <c r="B1377" t="inlineStr">
        <is>
          <t>邑昇一</t>
        </is>
      </c>
      <c r="C1377" t="n">
        <v>238</v>
      </c>
      <c r="D1377" t="n">
        <v>108</v>
      </c>
    </row>
    <row r="1378">
      <c r="A1378" t="n">
        <v>53061</v>
      </c>
      <c r="B1378" t="inlineStr">
        <is>
          <t>訊康一</t>
        </is>
      </c>
      <c r="C1378" t="n">
        <v>115.05</v>
      </c>
      <c r="D1378" t="n">
        <v>100</v>
      </c>
    </row>
    <row r="1379">
      <c r="A1379" t="n">
        <v>53063</v>
      </c>
      <c r="B1379" t="inlineStr">
        <is>
          <t>桂盟三</t>
        </is>
      </c>
      <c r="C1379" t="n">
        <v>129</v>
      </c>
      <c r="D1379" t="n">
        <v>99.59999999999999</v>
      </c>
    </row>
    <row r="1380">
      <c r="A1380" t="n">
        <v>53064</v>
      </c>
      <c r="B1380" t="inlineStr">
        <is>
          <t>桂盟四</t>
        </is>
      </c>
      <c r="C1380" t="n">
        <v>129</v>
      </c>
      <c r="D1380" t="n">
        <v>98.5</v>
      </c>
    </row>
    <row r="1381">
      <c r="A1381" t="n">
        <v>53091</v>
      </c>
      <c r="B1381" t="inlineStr">
        <is>
          <t>系統電一</t>
        </is>
      </c>
      <c r="C1381" t="n">
        <v>182</v>
      </c>
      <c r="D1381" t="n">
        <v>107</v>
      </c>
    </row>
    <row r="1382">
      <c r="A1382" t="n">
        <v>53092</v>
      </c>
      <c r="B1382" t="inlineStr">
        <is>
          <t>系統電二</t>
        </is>
      </c>
      <c r="C1382" t="n">
        <v>155</v>
      </c>
      <c r="D1382" t="n">
        <v>99.59999999999999</v>
      </c>
    </row>
    <row r="1383">
      <c r="A1383" t="n">
        <v>53093</v>
      </c>
      <c r="B1383" t="inlineStr">
        <is>
          <t>系統電三</t>
        </is>
      </c>
      <c r="C1383" t="n">
        <v>139.05</v>
      </c>
      <c r="D1383" t="n">
        <v>99.15000000000001</v>
      </c>
    </row>
    <row r="1384">
      <c r="A1384" t="n">
        <v>53094</v>
      </c>
      <c r="B1384" t="inlineStr">
        <is>
          <t>系統電四</t>
        </is>
      </c>
      <c r="C1384" t="n">
        <v>138.95</v>
      </c>
      <c r="D1384" t="n">
        <v>99.75</v>
      </c>
    </row>
    <row r="1385">
      <c r="A1385" t="n">
        <v>53095</v>
      </c>
      <c r="B1385" t="inlineStr">
        <is>
          <t>系統電五</t>
        </is>
      </c>
      <c r="C1385" t="n">
        <v>212</v>
      </c>
      <c r="D1385" t="n">
        <v>97.8</v>
      </c>
    </row>
    <row r="1386">
      <c r="A1386" t="n">
        <v>53096</v>
      </c>
      <c r="B1386" t="inlineStr">
        <is>
          <t>系統電六</t>
        </is>
      </c>
      <c r="C1386" t="n">
        <v>125.5</v>
      </c>
      <c r="D1386" t="n">
        <v>106.5</v>
      </c>
    </row>
    <row r="1387">
      <c r="A1387" t="n">
        <v>53097</v>
      </c>
      <c r="B1387" t="inlineStr">
        <is>
          <t>系統電七</t>
        </is>
      </c>
      <c r="C1387" t="n">
        <v>130</v>
      </c>
      <c r="D1387" t="n">
        <v>110.3</v>
      </c>
      <c r="E1387" t="inlineStr">
        <is>
          <t>H</t>
        </is>
      </c>
      <c r="F1387" s="208" t="n">
        <v>0.003861003861003861</v>
      </c>
    </row>
    <row r="1388">
      <c r="A1388" t="n">
        <v>53101</v>
      </c>
      <c r="B1388" t="inlineStr">
        <is>
          <t>天剛一</t>
        </is>
      </c>
      <c r="C1388" t="n">
        <v>114.15</v>
      </c>
      <c r="D1388" t="n">
        <v>60</v>
      </c>
    </row>
    <row r="1389">
      <c r="A1389" t="n">
        <v>53151</v>
      </c>
      <c r="B1389" t="inlineStr">
        <is>
          <t>光聯一</t>
        </is>
      </c>
      <c r="C1389" t="n">
        <v>105</v>
      </c>
      <c r="D1389" t="n">
        <v>99</v>
      </c>
    </row>
    <row r="1390">
      <c r="A1390" t="n">
        <v>53152</v>
      </c>
      <c r="B1390" t="inlineStr">
        <is>
          <t>光聯二</t>
        </is>
      </c>
      <c r="C1390" t="n">
        <v>133</v>
      </c>
      <c r="D1390" t="n">
        <v>97</v>
      </c>
    </row>
    <row r="1391">
      <c r="A1391" t="n">
        <v>53153</v>
      </c>
      <c r="B1391" t="inlineStr">
        <is>
          <t>光聯三</t>
        </is>
      </c>
      <c r="C1391" t="n">
        <v>115</v>
      </c>
      <c r="D1391" t="n">
        <v>101.5</v>
      </c>
    </row>
    <row r="1392">
      <c r="A1392" t="n">
        <v>53211</v>
      </c>
      <c r="B1392" t="inlineStr">
        <is>
          <t>美而快一</t>
        </is>
      </c>
      <c r="C1392" t="n">
        <v>107.2</v>
      </c>
      <c r="D1392" t="n">
        <v>93</v>
      </c>
    </row>
    <row r="1393">
      <c r="A1393" t="n">
        <v>53281</v>
      </c>
      <c r="B1393" t="inlineStr">
        <is>
          <t>華容一</t>
        </is>
      </c>
      <c r="C1393" t="n">
        <v>154</v>
      </c>
      <c r="D1393" t="n">
        <v>124</v>
      </c>
    </row>
    <row r="1394">
      <c r="A1394" t="n">
        <v>53282</v>
      </c>
      <c r="B1394" t="inlineStr">
        <is>
          <t>華容二</t>
        </is>
      </c>
      <c r="C1394" t="n">
        <v>173</v>
      </c>
      <c r="D1394" t="n">
        <v>100</v>
      </c>
    </row>
    <row r="1395">
      <c r="A1395" t="n">
        <v>53451</v>
      </c>
      <c r="B1395" t="inlineStr">
        <is>
          <t>天揚一</t>
        </is>
      </c>
      <c r="C1395" t="n">
        <v>127.8</v>
      </c>
      <c r="D1395" t="n">
        <v>59</v>
      </c>
    </row>
    <row r="1396">
      <c r="A1396" t="n">
        <v>53461</v>
      </c>
      <c r="B1396" t="inlineStr">
        <is>
          <t>力晶一</t>
        </is>
      </c>
      <c r="C1396" t="n">
        <v>119.8</v>
      </c>
      <c r="D1396" t="n">
        <v>27.2</v>
      </c>
    </row>
    <row r="1397">
      <c r="A1397" t="n">
        <v>53462</v>
      </c>
      <c r="B1397" t="inlineStr">
        <is>
          <t>力晶二</t>
        </is>
      </c>
      <c r="C1397" t="n">
        <v>121</v>
      </c>
      <c r="D1397" t="n">
        <v>28.5</v>
      </c>
    </row>
    <row r="1398">
      <c r="A1398" t="n">
        <v>53491</v>
      </c>
      <c r="B1398" t="inlineStr">
        <is>
          <t>旭展一</t>
        </is>
      </c>
      <c r="C1398" t="n">
        <v>114</v>
      </c>
      <c r="D1398" t="n">
        <v>59</v>
      </c>
    </row>
    <row r="1399">
      <c r="A1399" t="n">
        <v>53511</v>
      </c>
      <c r="B1399" t="inlineStr">
        <is>
          <t>鈺創一</t>
        </is>
      </c>
      <c r="C1399" t="n">
        <v>156</v>
      </c>
      <c r="D1399" t="n">
        <v>118.1</v>
      </c>
    </row>
    <row r="1400">
      <c r="A1400" t="n">
        <v>53512</v>
      </c>
      <c r="B1400" t="inlineStr">
        <is>
          <t>鈺創二</t>
        </is>
      </c>
      <c r="C1400" t="n">
        <v>110</v>
      </c>
      <c r="D1400" t="n">
        <v>96.5</v>
      </c>
    </row>
    <row r="1401">
      <c r="A1401" t="n">
        <v>53513</v>
      </c>
      <c r="B1401" t="inlineStr">
        <is>
          <t>鈺創三</t>
        </is>
      </c>
      <c r="C1401" t="n">
        <v>113.5</v>
      </c>
      <c r="D1401" t="n">
        <v>90</v>
      </c>
    </row>
    <row r="1402">
      <c r="A1402" t="n">
        <v>53551</v>
      </c>
      <c r="B1402" t="inlineStr">
        <is>
          <t>佳總一</t>
        </is>
      </c>
      <c r="C1402" t="n">
        <v>645</v>
      </c>
      <c r="D1402" t="n">
        <v>99</v>
      </c>
    </row>
    <row r="1403">
      <c r="A1403" t="n">
        <v>53552</v>
      </c>
      <c r="B1403" t="inlineStr">
        <is>
          <t>佳總二</t>
        </is>
      </c>
      <c r="C1403" t="n">
        <v>300</v>
      </c>
      <c r="D1403" t="n">
        <v>105.2</v>
      </c>
    </row>
    <row r="1404">
      <c r="A1404" t="n">
        <v>53553</v>
      </c>
      <c r="B1404" t="inlineStr">
        <is>
          <t>佳總三</t>
        </is>
      </c>
      <c r="C1404" t="n">
        <v>230</v>
      </c>
      <c r="D1404" t="n">
        <v>105.1</v>
      </c>
    </row>
    <row r="1405">
      <c r="A1405" t="n">
        <v>53711</v>
      </c>
      <c r="B1405" t="inlineStr">
        <is>
          <t>中光一</t>
        </is>
      </c>
      <c r="C1405" t="n">
        <v>239</v>
      </c>
      <c r="D1405" t="n">
        <v>106.95</v>
      </c>
    </row>
    <row r="1406">
      <c r="A1406" t="n">
        <v>53811</v>
      </c>
      <c r="B1406" t="inlineStr">
        <is>
          <t>合正一</t>
        </is>
      </c>
      <c r="C1406" t="n">
        <v>132.65</v>
      </c>
      <c r="D1406" t="n">
        <v>85</v>
      </c>
    </row>
    <row r="1407">
      <c r="A1407" t="n">
        <v>53812</v>
      </c>
      <c r="B1407" t="inlineStr">
        <is>
          <t>合正二</t>
        </is>
      </c>
      <c r="C1407" t="n">
        <v>211</v>
      </c>
      <c r="D1407" t="n">
        <v>95.2</v>
      </c>
    </row>
    <row r="1408">
      <c r="A1408" t="n">
        <v>53813</v>
      </c>
      <c r="B1408" t="inlineStr">
        <is>
          <t>合正三</t>
        </is>
      </c>
      <c r="C1408" t="n">
        <v>155</v>
      </c>
      <c r="D1408" t="n">
        <v>91.8</v>
      </c>
    </row>
    <row r="1409">
      <c r="A1409" t="n">
        <v>53861</v>
      </c>
      <c r="B1409" t="inlineStr">
        <is>
          <t>青雲一</t>
        </is>
      </c>
      <c r="C1409" t="n">
        <v>110.05</v>
      </c>
      <c r="D1409" t="n">
        <v>101</v>
      </c>
    </row>
    <row r="1410">
      <c r="A1410" t="n">
        <v>53882</v>
      </c>
      <c r="B1410" t="inlineStr">
        <is>
          <t>中磊二</t>
        </is>
      </c>
      <c r="C1410" t="n">
        <v>170</v>
      </c>
      <c r="D1410" t="n">
        <v>115</v>
      </c>
    </row>
    <row r="1411">
      <c r="A1411" t="n">
        <v>53883</v>
      </c>
      <c r="B1411" t="inlineStr">
        <is>
          <t>中磊三</t>
        </is>
      </c>
      <c r="C1411" t="n">
        <v>316</v>
      </c>
      <c r="D1411" t="n">
        <v>107</v>
      </c>
    </row>
    <row r="1412">
      <c r="A1412" t="n">
        <v>53884</v>
      </c>
      <c r="B1412" t="inlineStr">
        <is>
          <t>中磊四</t>
        </is>
      </c>
      <c r="C1412" t="n">
        <v>210</v>
      </c>
      <c r="D1412" t="n">
        <v>97.90000000000001</v>
      </c>
    </row>
    <row r="1413">
      <c r="A1413" t="n">
        <v>53885</v>
      </c>
      <c r="B1413" t="inlineStr">
        <is>
          <t>中磊五</t>
        </is>
      </c>
      <c r="C1413" t="n">
        <v>200</v>
      </c>
      <c r="D1413" t="n">
        <v>97.7</v>
      </c>
    </row>
    <row r="1414">
      <c r="A1414" t="n">
        <v>53886</v>
      </c>
      <c r="B1414" t="inlineStr">
        <is>
          <t>中磊六</t>
        </is>
      </c>
      <c r="C1414" t="n">
        <v>150</v>
      </c>
      <c r="D1414" t="n">
        <v>99.59999999999999</v>
      </c>
    </row>
    <row r="1415">
      <c r="A1415" t="n">
        <v>53887</v>
      </c>
      <c r="B1415" t="inlineStr">
        <is>
          <t>中磊七</t>
        </is>
      </c>
      <c r="C1415" t="n">
        <v>120</v>
      </c>
      <c r="D1415" t="n">
        <v>99.5</v>
      </c>
    </row>
    <row r="1416">
      <c r="A1416" t="n">
        <v>53921</v>
      </c>
      <c r="B1416" t="inlineStr">
        <is>
          <t>應華一</t>
        </is>
      </c>
      <c r="C1416" t="n">
        <v>164</v>
      </c>
      <c r="D1416" t="n">
        <v>84.3</v>
      </c>
    </row>
    <row r="1417">
      <c r="A1417" t="n">
        <v>53922</v>
      </c>
      <c r="B1417" t="inlineStr">
        <is>
          <t>應華二</t>
        </is>
      </c>
      <c r="C1417" t="n">
        <v>118.8</v>
      </c>
      <c r="D1417" t="n">
        <v>96.5</v>
      </c>
    </row>
    <row r="1418">
      <c r="A1418" t="n">
        <v>53923</v>
      </c>
      <c r="B1418" t="inlineStr">
        <is>
          <t>應華三</t>
        </is>
      </c>
      <c r="C1418" t="n">
        <v>196</v>
      </c>
      <c r="D1418" t="n">
        <v>106.8</v>
      </c>
    </row>
    <row r="1419">
      <c r="A1419" t="n">
        <v>53924</v>
      </c>
      <c r="B1419" t="inlineStr">
        <is>
          <t>應華四</t>
        </is>
      </c>
      <c r="C1419" t="n">
        <v>132.9</v>
      </c>
      <c r="D1419" t="n">
        <v>98</v>
      </c>
    </row>
    <row r="1420">
      <c r="A1420" t="n">
        <v>54031</v>
      </c>
      <c r="B1420" t="inlineStr">
        <is>
          <t xml:space="preserve">中菲一    </t>
        </is>
      </c>
      <c r="C1420" t="n">
        <v>123.05</v>
      </c>
      <c r="D1420" t="n">
        <v>100</v>
      </c>
    </row>
    <row r="1421">
      <c r="A1421" t="n">
        <v>54252</v>
      </c>
      <c r="B1421" t="inlineStr">
        <is>
          <t>台半二</t>
        </is>
      </c>
      <c r="C1421" t="n">
        <v>187</v>
      </c>
      <c r="D1421" t="n">
        <v>107</v>
      </c>
    </row>
    <row r="1422">
      <c r="A1422" t="n">
        <v>54253</v>
      </c>
      <c r="B1422" t="inlineStr">
        <is>
          <t>台半三</t>
        </is>
      </c>
      <c r="C1422" t="n">
        <v>377</v>
      </c>
      <c r="D1422" t="n">
        <v>107</v>
      </c>
    </row>
    <row r="1423">
      <c r="A1423" t="n">
        <v>54254</v>
      </c>
      <c r="B1423" t="inlineStr">
        <is>
          <t>台半四</t>
        </is>
      </c>
      <c r="C1423" t="n">
        <v>125</v>
      </c>
      <c r="D1423" t="n">
        <v>73.5</v>
      </c>
    </row>
    <row r="1424">
      <c r="A1424" t="n">
        <v>54255</v>
      </c>
      <c r="B1424" t="inlineStr">
        <is>
          <t>台半五</t>
        </is>
      </c>
      <c r="C1424" t="n">
        <v>150</v>
      </c>
      <c r="D1424" t="n">
        <v>99.5</v>
      </c>
    </row>
    <row r="1425">
      <c r="A1425" t="n">
        <v>54261</v>
      </c>
      <c r="B1425" t="inlineStr">
        <is>
          <t xml:space="preserve">振發一    </t>
        </is>
      </c>
      <c r="C1425" t="n">
        <v>285</v>
      </c>
      <c r="D1425" t="n">
        <v>100</v>
      </c>
    </row>
    <row r="1426">
      <c r="A1426" t="n">
        <v>54341</v>
      </c>
      <c r="B1426" t="inlineStr">
        <is>
          <t>崇越一</t>
        </is>
      </c>
      <c r="C1426" t="n">
        <v>277</v>
      </c>
      <c r="D1426" t="n">
        <v>100</v>
      </c>
    </row>
    <row r="1427">
      <c r="A1427" t="n">
        <v>54342</v>
      </c>
      <c r="B1427" t="inlineStr">
        <is>
          <t>崇越二</t>
        </is>
      </c>
      <c r="C1427" t="n">
        <v>260</v>
      </c>
      <c r="D1427" t="n">
        <v>104.1</v>
      </c>
      <c r="E1427" t="inlineStr">
        <is>
          <t>H</t>
        </is>
      </c>
      <c r="F1427" s="208" t="n">
        <v>0.1206896551724138</v>
      </c>
    </row>
    <row r="1428">
      <c r="A1428" t="n">
        <v>54391</v>
      </c>
      <c r="B1428" t="inlineStr">
        <is>
          <t>高技一</t>
        </is>
      </c>
      <c r="C1428" t="n">
        <v>162</v>
      </c>
      <c r="D1428" t="n">
        <v>117</v>
      </c>
      <c r="F1428" s="208" t="inlineStr"/>
    </row>
    <row r="1429">
      <c r="A1429" t="n">
        <v>54421</v>
      </c>
      <c r="B1429" t="inlineStr">
        <is>
          <t>世峰一</t>
        </is>
      </c>
      <c r="C1429" t="n">
        <v>108</v>
      </c>
      <c r="D1429" t="n">
        <v>32.5</v>
      </c>
    </row>
    <row r="1430">
      <c r="A1430" t="n">
        <v>54422</v>
      </c>
      <c r="B1430" t="inlineStr">
        <is>
          <t>世峰二</t>
        </is>
      </c>
      <c r="C1430" t="n">
        <v>193</v>
      </c>
      <c r="D1430" t="n">
        <v>123.95</v>
      </c>
    </row>
    <row r="1431">
      <c r="A1431" t="n">
        <v>54501</v>
      </c>
      <c r="B1431" t="inlineStr">
        <is>
          <t>南良一</t>
        </is>
      </c>
      <c r="C1431" t="n">
        <v>134</v>
      </c>
      <c r="D1431" t="n">
        <v>101.2</v>
      </c>
    </row>
    <row r="1432">
      <c r="A1432" t="n">
        <v>54521</v>
      </c>
      <c r="B1432" t="inlineStr">
        <is>
          <t>佶優一</t>
        </is>
      </c>
      <c r="C1432" t="n">
        <v>133.5</v>
      </c>
      <c r="D1432" t="n">
        <v>99.8</v>
      </c>
    </row>
    <row r="1433">
      <c r="A1433" t="n">
        <v>54551</v>
      </c>
      <c r="B1433" t="inlineStr">
        <is>
          <t>訊利一</t>
        </is>
      </c>
      <c r="C1433" t="n">
        <v>121.3</v>
      </c>
      <c r="D1433" t="n">
        <v>90</v>
      </c>
    </row>
    <row r="1434">
      <c r="A1434" t="n">
        <v>54552</v>
      </c>
      <c r="B1434" t="inlineStr">
        <is>
          <t>訊利二</t>
        </is>
      </c>
      <c r="C1434" t="n">
        <v>118</v>
      </c>
      <c r="D1434" t="n">
        <v>97.2</v>
      </c>
    </row>
    <row r="1435">
      <c r="A1435" t="n">
        <v>54571</v>
      </c>
      <c r="B1435" t="inlineStr">
        <is>
          <t>宣德一</t>
        </is>
      </c>
      <c r="C1435" t="n">
        <v>139.6</v>
      </c>
      <c r="D1435" t="n">
        <v>70</v>
      </c>
    </row>
    <row r="1436">
      <c r="A1436" t="n">
        <v>54572</v>
      </c>
      <c r="B1436" t="inlineStr">
        <is>
          <t>宣德二</t>
        </is>
      </c>
      <c r="C1436" t="n">
        <v>121</v>
      </c>
      <c r="D1436" t="n">
        <v>97.90000000000001</v>
      </c>
    </row>
    <row r="1437">
      <c r="A1437" t="n">
        <v>54573</v>
      </c>
      <c r="B1437" t="inlineStr">
        <is>
          <t>宣德三</t>
        </is>
      </c>
      <c r="C1437" t="n">
        <v>114.25</v>
      </c>
      <c r="D1437" t="n">
        <v>85.65000000000001</v>
      </c>
    </row>
    <row r="1438">
      <c r="A1438" t="n">
        <v>54641</v>
      </c>
      <c r="B1438" t="inlineStr">
        <is>
          <t>霖宏一</t>
        </is>
      </c>
      <c r="C1438" t="n">
        <v>152</v>
      </c>
      <c r="D1438" t="n">
        <v>101.1</v>
      </c>
    </row>
    <row r="1439">
      <c r="A1439" t="n">
        <v>54661</v>
      </c>
      <c r="B1439" t="inlineStr">
        <is>
          <t>泰林一</t>
        </is>
      </c>
      <c r="C1439" t="n">
        <v>229</v>
      </c>
      <c r="D1439" t="n">
        <v>103</v>
      </c>
    </row>
    <row r="1440">
      <c r="A1440" t="n">
        <v>54662</v>
      </c>
      <c r="B1440" t="inlineStr">
        <is>
          <t>泰林二</t>
        </is>
      </c>
      <c r="C1440" t="n">
        <v>169</v>
      </c>
      <c r="D1440" t="n">
        <v>100</v>
      </c>
    </row>
    <row r="1441">
      <c r="A1441" t="n">
        <v>54691</v>
      </c>
      <c r="B1441" t="inlineStr">
        <is>
          <t>博德一</t>
        </is>
      </c>
      <c r="C1441" t="n">
        <v>104.8</v>
      </c>
      <c r="D1441" t="n">
        <v>93.05</v>
      </c>
    </row>
    <row r="1442">
      <c r="A1442" t="n">
        <v>54731</v>
      </c>
      <c r="B1442" t="inlineStr">
        <is>
          <t>矽成一</t>
        </is>
      </c>
      <c r="C1442" t="n">
        <v>124</v>
      </c>
      <c r="D1442" t="n">
        <v>83</v>
      </c>
    </row>
    <row r="1443">
      <c r="A1443" t="n">
        <v>54751</v>
      </c>
      <c r="B1443" t="inlineStr">
        <is>
          <t>德宏一</t>
        </is>
      </c>
      <c r="C1443" t="n">
        <v>257</v>
      </c>
      <c r="D1443" t="n">
        <v>83.2</v>
      </c>
    </row>
    <row r="1444">
      <c r="A1444" t="n">
        <v>54752</v>
      </c>
      <c r="B1444" t="inlineStr">
        <is>
          <t>德宏二</t>
        </is>
      </c>
      <c r="C1444" t="n">
        <v>160</v>
      </c>
      <c r="D1444" t="n">
        <v>98</v>
      </c>
    </row>
    <row r="1445">
      <c r="A1445" t="n">
        <v>54753</v>
      </c>
      <c r="B1445" t="inlineStr">
        <is>
          <t>德宏三</t>
        </is>
      </c>
      <c r="C1445" t="n">
        <v>124</v>
      </c>
      <c r="D1445" t="n">
        <v>99.3</v>
      </c>
    </row>
    <row r="1446">
      <c r="A1446" t="n">
        <v>54754</v>
      </c>
      <c r="B1446" t="inlineStr">
        <is>
          <t>德宏四</t>
        </is>
      </c>
      <c r="C1446" t="n">
        <v>118</v>
      </c>
      <c r="D1446" t="n">
        <v>102.6</v>
      </c>
    </row>
    <row r="1447">
      <c r="A1447" t="n">
        <v>54755</v>
      </c>
      <c r="B1447" t="inlineStr">
        <is>
          <t>德宏五</t>
        </is>
      </c>
      <c r="C1447" t="n">
        <v>113.5</v>
      </c>
      <c r="D1447" t="n">
        <v>101.1</v>
      </c>
    </row>
    <row r="1448">
      <c r="A1448" t="n">
        <v>54756</v>
      </c>
      <c r="B1448" t="inlineStr">
        <is>
          <t>德宏六</t>
        </is>
      </c>
      <c r="C1448" t="n">
        <v>113.5</v>
      </c>
      <c r="D1448" t="n">
        <v>101.1</v>
      </c>
    </row>
    <row r="1449">
      <c r="A1449" t="n">
        <v>54757</v>
      </c>
      <c r="B1449" t="inlineStr">
        <is>
          <t>德宏七</t>
        </is>
      </c>
      <c r="C1449" t="n">
        <v>141</v>
      </c>
      <c r="D1449" t="n">
        <v>101.55</v>
      </c>
    </row>
    <row r="1450">
      <c r="A1450" t="n">
        <v>54758</v>
      </c>
      <c r="B1450" t="inlineStr">
        <is>
          <t>德宏八</t>
        </is>
      </c>
      <c r="C1450" t="n">
        <v>110</v>
      </c>
      <c r="D1450" t="n">
        <v>100.4</v>
      </c>
    </row>
    <row r="1451">
      <c r="A1451" t="n">
        <v>54759</v>
      </c>
      <c r="B1451" t="inlineStr">
        <is>
          <t>德宏九</t>
        </is>
      </c>
      <c r="C1451" t="n">
        <v>156</v>
      </c>
      <c r="D1451" t="n">
        <v>100.5</v>
      </c>
    </row>
    <row r="1452">
      <c r="A1452" t="n">
        <v>54781</v>
      </c>
      <c r="B1452" t="inlineStr">
        <is>
          <t>智冠一</t>
        </is>
      </c>
      <c r="C1452" t="n">
        <v>193</v>
      </c>
      <c r="D1452" t="n">
        <v>107.55</v>
      </c>
    </row>
    <row r="1453">
      <c r="A1453" t="n">
        <v>54901</v>
      </c>
      <c r="B1453" t="inlineStr">
        <is>
          <t>同亨ㄧ</t>
        </is>
      </c>
      <c r="C1453" t="n">
        <v>136</v>
      </c>
      <c r="D1453" t="n">
        <v>92.05</v>
      </c>
    </row>
    <row r="1454">
      <c r="A1454" t="n">
        <v>54911</v>
      </c>
      <c r="B1454" t="inlineStr">
        <is>
          <t>連展一</t>
        </is>
      </c>
      <c r="C1454" t="n">
        <v>143</v>
      </c>
      <c r="D1454" t="n">
        <v>68</v>
      </c>
    </row>
    <row r="1455">
      <c r="A1455" t="n">
        <v>54912</v>
      </c>
      <c r="B1455" t="inlineStr">
        <is>
          <t>連展二</t>
        </is>
      </c>
      <c r="C1455" t="n">
        <v>153</v>
      </c>
      <c r="D1455" t="n">
        <v>94.09999999999999</v>
      </c>
    </row>
    <row r="1456">
      <c r="A1456" t="n">
        <v>54913</v>
      </c>
      <c r="B1456" t="inlineStr">
        <is>
          <t>連展三</t>
        </is>
      </c>
      <c r="C1456" t="n">
        <v>151</v>
      </c>
      <c r="D1456" t="n">
        <v>98.55</v>
      </c>
    </row>
    <row r="1457">
      <c r="A1457" t="n">
        <v>54931</v>
      </c>
      <c r="B1457" t="inlineStr">
        <is>
          <t>三聯一</t>
        </is>
      </c>
      <c r="C1457" t="n">
        <v>160</v>
      </c>
      <c r="D1457" t="n">
        <v>94.90000000000001</v>
      </c>
    </row>
    <row r="1458">
      <c r="A1458" t="n">
        <v>54981</v>
      </c>
      <c r="B1458" t="inlineStr">
        <is>
          <t>凱威一</t>
        </is>
      </c>
      <c r="C1458" t="n">
        <v>192</v>
      </c>
      <c r="D1458" t="n">
        <v>100.5</v>
      </c>
    </row>
    <row r="1459">
      <c r="A1459" t="n">
        <v>54982</v>
      </c>
      <c r="B1459" t="inlineStr">
        <is>
          <t>凱崴二</t>
        </is>
      </c>
      <c r="C1459" t="n">
        <v>128.9</v>
      </c>
      <c r="D1459" t="n">
        <v>100</v>
      </c>
    </row>
    <row r="1460">
      <c r="A1460" t="n">
        <v>54983</v>
      </c>
      <c r="B1460" t="inlineStr">
        <is>
          <t>凱崴三</t>
        </is>
      </c>
      <c r="C1460" t="n">
        <v>110</v>
      </c>
      <c r="D1460" t="n">
        <v>94</v>
      </c>
    </row>
    <row r="1461">
      <c r="A1461" t="n">
        <v>55051</v>
      </c>
      <c r="B1461" t="inlineStr">
        <is>
          <t>和旺一</t>
        </is>
      </c>
      <c r="C1461" t="n">
        <v>309</v>
      </c>
      <c r="D1461" t="n">
        <v>93</v>
      </c>
    </row>
    <row r="1462">
      <c r="A1462" t="n">
        <v>55052</v>
      </c>
      <c r="B1462" t="inlineStr">
        <is>
          <t>和旺二</t>
        </is>
      </c>
      <c r="C1462" t="n">
        <v>124</v>
      </c>
      <c r="D1462" t="n">
        <v>99</v>
      </c>
    </row>
    <row r="1463">
      <c r="A1463" t="n">
        <v>55121</v>
      </c>
      <c r="B1463" t="inlineStr">
        <is>
          <t>力麒一</t>
        </is>
      </c>
      <c r="C1463" t="n">
        <v>189</v>
      </c>
      <c r="D1463" t="n">
        <v>96.59999999999999</v>
      </c>
    </row>
    <row r="1464">
      <c r="A1464" t="n">
        <v>55122</v>
      </c>
      <c r="B1464" t="inlineStr">
        <is>
          <t>力麒二</t>
        </is>
      </c>
      <c r="C1464" t="n">
        <v>185</v>
      </c>
      <c r="D1464" t="n">
        <v>55</v>
      </c>
    </row>
    <row r="1465">
      <c r="A1465" t="n">
        <v>55123</v>
      </c>
      <c r="B1465" t="inlineStr">
        <is>
          <t>力麒三</t>
        </is>
      </c>
      <c r="C1465" t="n">
        <v>165</v>
      </c>
      <c r="D1465" t="n">
        <v>102</v>
      </c>
    </row>
    <row r="1466">
      <c r="A1466" t="n">
        <v>55124</v>
      </c>
      <c r="B1466" t="inlineStr">
        <is>
          <t>力麒四</t>
        </is>
      </c>
      <c r="C1466" t="n">
        <v>116</v>
      </c>
      <c r="D1466" t="n">
        <v>90</v>
      </c>
    </row>
    <row r="1467">
      <c r="A1467" t="n">
        <v>55191</v>
      </c>
      <c r="B1467" t="inlineStr">
        <is>
          <t>隆大一</t>
        </is>
      </c>
      <c r="C1467" t="n">
        <v>105.2</v>
      </c>
      <c r="D1467" t="n">
        <v>99.75</v>
      </c>
    </row>
    <row r="1468">
      <c r="A1468" t="n">
        <v>55192</v>
      </c>
      <c r="B1468" t="inlineStr">
        <is>
          <t>隆大二</t>
        </is>
      </c>
      <c r="C1468" t="n">
        <v>104</v>
      </c>
      <c r="D1468" t="n">
        <v>93</v>
      </c>
    </row>
    <row r="1469">
      <c r="A1469" t="n">
        <v>55193</v>
      </c>
      <c r="B1469" t="inlineStr">
        <is>
          <t>隆大三</t>
        </is>
      </c>
      <c r="C1469" t="n">
        <v>159</v>
      </c>
      <c r="D1469" t="n">
        <v>105</v>
      </c>
    </row>
    <row r="1470">
      <c r="A1470" t="n">
        <v>55194</v>
      </c>
      <c r="B1470" t="inlineStr">
        <is>
          <t>隆大四</t>
        </is>
      </c>
      <c r="C1470" t="n">
        <v>159</v>
      </c>
      <c r="D1470" t="n">
        <v>103.3</v>
      </c>
    </row>
    <row r="1471">
      <c r="A1471" t="n">
        <v>55221</v>
      </c>
      <c r="B1471" t="inlineStr">
        <is>
          <t>遠雄一</t>
        </is>
      </c>
      <c r="C1471" t="n">
        <v>244</v>
      </c>
      <c r="D1471" t="n">
        <v>99.5</v>
      </c>
    </row>
    <row r="1472">
      <c r="A1472" t="n">
        <v>55222</v>
      </c>
      <c r="B1472" t="inlineStr">
        <is>
          <t>遠雄二</t>
        </is>
      </c>
      <c r="C1472" t="n">
        <v>218</v>
      </c>
      <c r="D1472" t="n">
        <v>100</v>
      </c>
    </row>
    <row r="1473">
      <c r="A1473" t="n">
        <v>55223</v>
      </c>
      <c r="B1473" t="inlineStr">
        <is>
          <t>遠雄三</t>
        </is>
      </c>
      <c r="C1473" t="n">
        <v>114</v>
      </c>
      <c r="D1473" t="n">
        <v>89</v>
      </c>
    </row>
    <row r="1474">
      <c r="A1474" t="n">
        <v>55224</v>
      </c>
      <c r="B1474" t="inlineStr">
        <is>
          <t>遠雄四</t>
        </is>
      </c>
      <c r="C1474" t="n">
        <v>114</v>
      </c>
      <c r="D1474" t="n">
        <v>75</v>
      </c>
    </row>
    <row r="1475">
      <c r="A1475" t="n">
        <v>55225</v>
      </c>
      <c r="B1475" t="inlineStr">
        <is>
          <t>遠雄五</t>
        </is>
      </c>
      <c r="C1475" t="n">
        <v>108.5</v>
      </c>
      <c r="D1475" t="n">
        <v>97</v>
      </c>
    </row>
    <row r="1476">
      <c r="A1476" t="n">
        <v>55226</v>
      </c>
      <c r="B1476" t="inlineStr">
        <is>
          <t>遠雄六</t>
        </is>
      </c>
      <c r="C1476" t="n">
        <v>105</v>
      </c>
      <c r="D1476" t="n">
        <v>95</v>
      </c>
    </row>
    <row r="1477">
      <c r="A1477" t="n">
        <v>55231</v>
      </c>
      <c r="B1477" t="inlineStr">
        <is>
          <t>宏都一</t>
        </is>
      </c>
      <c r="C1477" t="n">
        <v>137.2</v>
      </c>
      <c r="D1477" t="n">
        <v>56</v>
      </c>
    </row>
    <row r="1478">
      <c r="A1478" t="n">
        <v>55291</v>
      </c>
      <c r="B1478" t="inlineStr">
        <is>
          <t>志嘉一</t>
        </is>
      </c>
      <c r="C1478" t="n">
        <v>105</v>
      </c>
      <c r="D1478" t="n">
        <v>97</v>
      </c>
    </row>
    <row r="1479">
      <c r="A1479" t="n">
        <v>55341</v>
      </c>
      <c r="B1479" t="inlineStr">
        <is>
          <t>長虹一</t>
        </is>
      </c>
      <c r="C1479" t="n">
        <v>503</v>
      </c>
      <c r="D1479" t="n">
        <v>102.7</v>
      </c>
    </row>
    <row r="1480">
      <c r="A1480" t="n">
        <v>55342</v>
      </c>
      <c r="B1480" t="inlineStr">
        <is>
          <t>長虹二</t>
        </is>
      </c>
      <c r="C1480" t="n">
        <v>585</v>
      </c>
      <c r="D1480" t="n">
        <v>94.5</v>
      </c>
    </row>
    <row r="1481">
      <c r="A1481" t="n">
        <v>55343</v>
      </c>
      <c r="B1481" t="inlineStr">
        <is>
          <t>長虹三</t>
        </is>
      </c>
      <c r="C1481" t="n">
        <v>190</v>
      </c>
      <c r="D1481" t="n">
        <v>97</v>
      </c>
    </row>
    <row r="1482">
      <c r="A1482" t="n">
        <v>55344</v>
      </c>
      <c r="B1482" t="inlineStr">
        <is>
          <t>長虹四</t>
        </is>
      </c>
      <c r="C1482" t="n">
        <v>128.5</v>
      </c>
      <c r="D1482" t="n">
        <v>102.15</v>
      </c>
      <c r="F1482" s="208" t="inlineStr"/>
    </row>
    <row r="1483">
      <c r="A1483" t="n">
        <v>55361</v>
      </c>
      <c r="B1483" t="inlineStr">
        <is>
          <t>聖暉一</t>
        </is>
      </c>
      <c r="C1483" t="n">
        <v>202</v>
      </c>
      <c r="D1483" t="n">
        <v>108</v>
      </c>
    </row>
    <row r="1484">
      <c r="A1484" t="n">
        <v>55381</v>
      </c>
      <c r="B1484" t="inlineStr">
        <is>
          <t>東明一KY</t>
        </is>
      </c>
      <c r="C1484" t="n">
        <v>115.5</v>
      </c>
      <c r="D1484" t="n">
        <v>95</v>
      </c>
    </row>
    <row r="1485">
      <c r="A1485" t="n">
        <v>55431</v>
      </c>
      <c r="B1485" t="inlineStr">
        <is>
          <t>桓鼎一KY</t>
        </is>
      </c>
      <c r="C1485" t="n">
        <v>123</v>
      </c>
      <c r="D1485" t="n">
        <v>99.59999999999999</v>
      </c>
    </row>
    <row r="1486">
      <c r="A1486" t="n">
        <v>55432</v>
      </c>
      <c r="B1486" t="inlineStr">
        <is>
          <t>桓鼎二KY</t>
        </is>
      </c>
      <c r="C1486" t="n">
        <v>112.1</v>
      </c>
      <c r="D1486" t="n">
        <v>99.84999999999999</v>
      </c>
    </row>
    <row r="1487">
      <c r="A1487" t="n">
        <v>55433</v>
      </c>
      <c r="B1487" t="inlineStr">
        <is>
          <t>桓鼎三KY</t>
        </is>
      </c>
      <c r="C1487" t="n">
        <v>102</v>
      </c>
      <c r="D1487" t="n">
        <v>101</v>
      </c>
    </row>
    <row r="1488">
      <c r="A1488" t="n">
        <v>55434</v>
      </c>
      <c r="B1488" t="inlineStr">
        <is>
          <t>桓鼎四KY</t>
        </is>
      </c>
      <c r="C1488" t="n">
        <v>107</v>
      </c>
      <c r="D1488" t="n">
        <v>93</v>
      </c>
    </row>
    <row r="1489">
      <c r="A1489" t="n">
        <v>55461</v>
      </c>
      <c r="B1489" t="inlineStr">
        <is>
          <t>永固一KY</t>
        </is>
      </c>
      <c r="C1489" t="n">
        <v>111</v>
      </c>
      <c r="D1489" t="n">
        <v>88</v>
      </c>
    </row>
    <row r="1490">
      <c r="A1490" t="n">
        <v>56031</v>
      </c>
      <c r="B1490" t="inlineStr">
        <is>
          <t>陸海一</t>
        </is>
      </c>
      <c r="C1490" t="n">
        <v>113.4</v>
      </c>
      <c r="D1490" t="n">
        <v>95.5</v>
      </c>
    </row>
    <row r="1491">
      <c r="A1491" t="n">
        <v>56081</v>
      </c>
      <c r="B1491" t="inlineStr">
        <is>
          <t>四維一</t>
        </is>
      </c>
      <c r="C1491" t="n">
        <v>280</v>
      </c>
      <c r="D1491" t="n">
        <v>103.5</v>
      </c>
    </row>
    <row r="1492">
      <c r="A1492" t="n">
        <v>56082</v>
      </c>
      <c r="B1492" t="inlineStr">
        <is>
          <t>四維航二</t>
        </is>
      </c>
      <c r="C1492" t="n">
        <v>302</v>
      </c>
      <c r="D1492" t="n">
        <v>107</v>
      </c>
    </row>
    <row r="1493">
      <c r="A1493" t="n">
        <v>56083</v>
      </c>
      <c r="B1493" t="inlineStr">
        <is>
          <t>四維航三</t>
        </is>
      </c>
      <c r="C1493" t="n">
        <v>114.45</v>
      </c>
      <c r="D1493" t="n">
        <v>95</v>
      </c>
    </row>
    <row r="1494">
      <c r="A1494" t="n">
        <v>56084</v>
      </c>
      <c r="B1494" t="inlineStr">
        <is>
          <t>四維航四</t>
        </is>
      </c>
      <c r="C1494" t="n">
        <v>105</v>
      </c>
      <c r="D1494" t="n">
        <v>98</v>
      </c>
    </row>
    <row r="1495">
      <c r="A1495" t="n">
        <v>56085</v>
      </c>
      <c r="B1495" t="inlineStr">
        <is>
          <t>四維航五</t>
        </is>
      </c>
      <c r="C1495" t="n">
        <v>101.6</v>
      </c>
      <c r="D1495" t="n">
        <v>94.5</v>
      </c>
    </row>
    <row r="1496">
      <c r="A1496" t="n">
        <v>56086</v>
      </c>
      <c r="B1496" t="inlineStr">
        <is>
          <t>四維航六</t>
        </is>
      </c>
      <c r="C1496" t="n">
        <v>128</v>
      </c>
      <c r="D1496" t="n">
        <v>99.09999999999999</v>
      </c>
      <c r="F1496" s="208" t="inlineStr"/>
    </row>
    <row r="1497">
      <c r="A1497" t="n">
        <v>56087</v>
      </c>
      <c r="B1497" t="inlineStr">
        <is>
          <t>四維航七</t>
        </is>
      </c>
      <c r="C1497" t="n">
        <v>125</v>
      </c>
      <c r="D1497" t="n">
        <v>101</v>
      </c>
    </row>
    <row r="1498">
      <c r="A1498" t="n">
        <v>58201</v>
      </c>
      <c r="B1498" t="inlineStr">
        <is>
          <t>日盛一</t>
        </is>
      </c>
      <c r="C1498" t="n">
        <v>113</v>
      </c>
      <c r="D1498" t="n">
        <v>92</v>
      </c>
    </row>
    <row r="1499">
      <c r="A1499" t="n">
        <v>58711</v>
      </c>
      <c r="B1499" t="inlineStr">
        <is>
          <t>中租一KY</t>
        </is>
      </c>
      <c r="C1499" t="n">
        <v>113.1</v>
      </c>
      <c r="D1499" t="n">
        <v>94.05</v>
      </c>
    </row>
    <row r="1500">
      <c r="A1500" t="n">
        <v>59041</v>
      </c>
      <c r="B1500" t="inlineStr">
        <is>
          <t>寶雅一</t>
        </is>
      </c>
      <c r="C1500" t="n">
        <v>168</v>
      </c>
      <c r="D1500" t="n">
        <v>100</v>
      </c>
    </row>
    <row r="1501">
      <c r="A1501" t="n">
        <v>59051</v>
      </c>
      <c r="B1501" t="inlineStr">
        <is>
          <t>南仁1A</t>
        </is>
      </c>
      <c r="C1501" t="n">
        <v>242</v>
      </c>
      <c r="D1501" t="n">
        <v>106.7</v>
      </c>
    </row>
    <row r="1502">
      <c r="A1502" t="n">
        <v>59052</v>
      </c>
      <c r="B1502" t="inlineStr">
        <is>
          <t>南仁1B</t>
        </is>
      </c>
      <c r="C1502" t="n">
        <v>176</v>
      </c>
      <c r="D1502" t="n">
        <v>103</v>
      </c>
    </row>
    <row r="1503">
      <c r="A1503" t="n">
        <v>59053</v>
      </c>
      <c r="B1503" t="inlineStr">
        <is>
          <t xml:space="preserve">南仁湖二 </t>
        </is>
      </c>
      <c r="C1503" t="n">
        <v>150</v>
      </c>
      <c r="D1503" t="n">
        <v>60</v>
      </c>
    </row>
    <row r="1504">
      <c r="A1504" t="n">
        <v>59054</v>
      </c>
      <c r="B1504" t="inlineStr">
        <is>
          <t>南仁湖三</t>
        </is>
      </c>
      <c r="C1504" t="n">
        <v>127.3</v>
      </c>
      <c r="D1504" t="n">
        <v>100</v>
      </c>
    </row>
    <row r="1505">
      <c r="A1505" t="n">
        <v>59055</v>
      </c>
      <c r="B1505" t="inlineStr">
        <is>
          <t>南仁湖四</t>
        </is>
      </c>
      <c r="C1505" t="n">
        <v>200</v>
      </c>
      <c r="D1505" t="n">
        <v>99.95</v>
      </c>
      <c r="E1505" t="inlineStr">
        <is>
          <t>L</t>
        </is>
      </c>
      <c r="F1505" s="208" t="n">
        <v>-0.0004999999999999716</v>
      </c>
    </row>
    <row r="1506">
      <c r="A1506" t="n">
        <v>60042</v>
      </c>
      <c r="B1506" t="inlineStr">
        <is>
          <t>元京證二</t>
        </is>
      </c>
      <c r="C1506" t="n">
        <v>204</v>
      </c>
      <c r="D1506" t="n">
        <v>115</v>
      </c>
    </row>
    <row r="1507">
      <c r="A1507" t="n">
        <v>60151</v>
      </c>
      <c r="B1507" t="inlineStr">
        <is>
          <t>宏遠證一</t>
        </is>
      </c>
      <c r="C1507" t="n">
        <v>133.6</v>
      </c>
      <c r="D1507" t="n">
        <v>92.7</v>
      </c>
    </row>
    <row r="1508">
      <c r="A1508" t="n">
        <v>60152</v>
      </c>
      <c r="B1508" t="inlineStr">
        <is>
          <t>宏遠證二</t>
        </is>
      </c>
      <c r="C1508" t="n">
        <v>180</v>
      </c>
      <c r="D1508" t="n">
        <v>97.59999999999999</v>
      </c>
      <c r="E1508" t="inlineStr">
        <is>
          <t>H</t>
        </is>
      </c>
      <c r="F1508" s="208" t="n">
        <v>0.200800533689126</v>
      </c>
    </row>
    <row r="1509">
      <c r="A1509" t="n">
        <v>60161</v>
      </c>
      <c r="B1509" t="inlineStr">
        <is>
          <t>康和一</t>
        </is>
      </c>
      <c r="C1509" t="n">
        <v>211</v>
      </c>
      <c r="D1509" t="n">
        <v>98</v>
      </c>
    </row>
    <row r="1510">
      <c r="A1510" t="n">
        <v>60221</v>
      </c>
      <c r="B1510" t="inlineStr">
        <is>
          <t>大眾證一</t>
        </is>
      </c>
      <c r="C1510" t="n">
        <v>171</v>
      </c>
      <c r="D1510" t="n">
        <v>86.5</v>
      </c>
    </row>
    <row r="1511">
      <c r="A1511" t="n">
        <v>61011</v>
      </c>
      <c r="B1511" t="inlineStr">
        <is>
          <t>寬魚國際一</t>
        </is>
      </c>
      <c r="C1511" t="n">
        <v>118.1</v>
      </c>
      <c r="D1511" t="n">
        <v>106.5</v>
      </c>
      <c r="E1511" t="inlineStr">
        <is>
          <t>H</t>
        </is>
      </c>
      <c r="F1511" s="208" t="n">
        <v>0.0008474576271185959</v>
      </c>
    </row>
    <row r="1512">
      <c r="A1512" t="n">
        <v>61012</v>
      </c>
      <c r="B1512" t="inlineStr">
        <is>
          <t>寬魚國際二</t>
        </is>
      </c>
      <c r="C1512" t="n">
        <v>104.5</v>
      </c>
      <c r="D1512" t="n">
        <v>93.40000000000001</v>
      </c>
      <c r="E1512" t="inlineStr">
        <is>
          <t>H</t>
        </is>
      </c>
      <c r="F1512" s="208" t="n">
        <v>0.03465346534653466</v>
      </c>
    </row>
    <row r="1513">
      <c r="A1513" t="n">
        <v>61041</v>
      </c>
      <c r="B1513" t="inlineStr">
        <is>
          <t>創惟一</t>
        </is>
      </c>
      <c r="C1513" t="n">
        <v>146</v>
      </c>
      <c r="D1513" t="n">
        <v>97</v>
      </c>
    </row>
    <row r="1514">
      <c r="A1514" t="n">
        <v>61051</v>
      </c>
      <c r="B1514" t="inlineStr">
        <is>
          <t>瑞傳一</t>
        </is>
      </c>
      <c r="C1514" t="n">
        <v>136</v>
      </c>
      <c r="D1514" t="n">
        <v>115</v>
      </c>
    </row>
    <row r="1515">
      <c r="A1515" t="n">
        <v>61052</v>
      </c>
      <c r="B1515" t="inlineStr">
        <is>
          <t>瑞傳二</t>
        </is>
      </c>
      <c r="C1515" t="n">
        <v>158</v>
      </c>
      <c r="D1515" t="n">
        <v>100.5</v>
      </c>
    </row>
    <row r="1516">
      <c r="A1516" t="n">
        <v>61053</v>
      </c>
      <c r="B1516" t="inlineStr">
        <is>
          <t>瑞傳三</t>
        </is>
      </c>
      <c r="C1516" t="n">
        <v>152</v>
      </c>
      <c r="D1516" t="n">
        <v>105</v>
      </c>
    </row>
    <row r="1517">
      <c r="A1517" t="n">
        <v>61071</v>
      </c>
      <c r="B1517" t="inlineStr">
        <is>
          <t>華美一</t>
        </is>
      </c>
      <c r="C1517" t="n">
        <v>130.9</v>
      </c>
      <c r="D1517" t="n">
        <v>99.2</v>
      </c>
    </row>
    <row r="1518">
      <c r="A1518" t="n">
        <v>61081</v>
      </c>
      <c r="B1518" t="inlineStr">
        <is>
          <t>競國一</t>
        </is>
      </c>
      <c r="C1518" t="n">
        <v>173</v>
      </c>
      <c r="D1518" t="n">
        <v>107</v>
      </c>
    </row>
    <row r="1519">
      <c r="A1519" t="n">
        <v>61082</v>
      </c>
      <c r="B1519" t="inlineStr">
        <is>
          <t>競國二</t>
        </is>
      </c>
      <c r="C1519" t="n">
        <v>305</v>
      </c>
      <c r="D1519" t="n">
        <v>64.84999999999999</v>
      </c>
    </row>
    <row r="1520">
      <c r="A1520" t="n">
        <v>61083</v>
      </c>
      <c r="B1520" t="inlineStr">
        <is>
          <t>競國三</t>
        </is>
      </c>
      <c r="C1520" t="n">
        <v>114</v>
      </c>
      <c r="D1520" t="n">
        <v>90</v>
      </c>
    </row>
    <row r="1521">
      <c r="A1521" t="n">
        <v>61101</v>
      </c>
      <c r="B1521" t="inlineStr">
        <is>
          <t>艾群一</t>
        </is>
      </c>
      <c r="C1521" t="n">
        <v>110.9</v>
      </c>
      <c r="D1521" t="n">
        <v>78.5</v>
      </c>
    </row>
    <row r="1522">
      <c r="A1522" t="n">
        <v>61102</v>
      </c>
      <c r="B1522" t="inlineStr">
        <is>
          <t>艾群二</t>
        </is>
      </c>
      <c r="C1522" t="n">
        <v>110</v>
      </c>
      <c r="D1522" t="n">
        <v>73</v>
      </c>
    </row>
    <row r="1523">
      <c r="A1523" t="n">
        <v>61111</v>
      </c>
      <c r="B1523" t="inlineStr">
        <is>
          <t>大資資一</t>
        </is>
      </c>
      <c r="C1523" t="n">
        <v>129</v>
      </c>
      <c r="D1523" t="n">
        <v>101.05</v>
      </c>
    </row>
    <row r="1524">
      <c r="A1524" t="n">
        <v>61112</v>
      </c>
      <c r="B1524" t="inlineStr">
        <is>
          <t>大宇資二</t>
        </is>
      </c>
      <c r="C1524" t="n">
        <v>110.95</v>
      </c>
      <c r="D1524" t="n">
        <v>91.90000000000001</v>
      </c>
    </row>
    <row r="1525">
      <c r="A1525" t="n">
        <v>61121</v>
      </c>
      <c r="B1525" t="inlineStr">
        <is>
          <t>聚碩一</t>
        </is>
      </c>
      <c r="C1525" t="n">
        <v>110.5</v>
      </c>
      <c r="D1525" t="n">
        <v>97.5</v>
      </c>
    </row>
    <row r="1526">
      <c r="A1526" t="n">
        <v>61141</v>
      </c>
      <c r="B1526" t="inlineStr">
        <is>
          <t>翔昇一</t>
        </is>
      </c>
      <c r="C1526" t="n">
        <v>128.9</v>
      </c>
      <c r="D1526" t="n">
        <v>100.05</v>
      </c>
    </row>
    <row r="1527">
      <c r="A1527" t="n">
        <v>61151</v>
      </c>
      <c r="B1527" t="inlineStr">
        <is>
          <t>鎰勝一</t>
        </is>
      </c>
      <c r="C1527" t="n">
        <v>166</v>
      </c>
      <c r="D1527" t="n">
        <v>102</v>
      </c>
    </row>
    <row r="1528">
      <c r="A1528" t="n">
        <v>61152</v>
      </c>
      <c r="B1528" t="inlineStr">
        <is>
          <t>鎰勝二</t>
        </is>
      </c>
      <c r="C1528" t="n">
        <v>216</v>
      </c>
      <c r="D1528" t="n">
        <v>86.5</v>
      </c>
    </row>
    <row r="1529">
      <c r="A1529" t="n">
        <v>61153</v>
      </c>
      <c r="B1529" t="inlineStr">
        <is>
          <t>鎰勝三</t>
        </is>
      </c>
      <c r="C1529" t="n">
        <v>175</v>
      </c>
      <c r="D1529" t="n">
        <v>100</v>
      </c>
    </row>
    <row r="1530">
      <c r="A1530" t="n">
        <v>61171</v>
      </c>
      <c r="B1530" t="inlineStr">
        <is>
          <t>迎廣一</t>
        </is>
      </c>
      <c r="C1530" t="n">
        <v>174</v>
      </c>
      <c r="D1530" t="n">
        <v>98.09999999999999</v>
      </c>
    </row>
    <row r="1531">
      <c r="A1531" t="n">
        <v>61172</v>
      </c>
      <c r="B1531" t="inlineStr">
        <is>
          <t>迎廣二</t>
        </is>
      </c>
      <c r="C1531" t="n">
        <v>129</v>
      </c>
      <c r="D1531" t="n">
        <v>95.5</v>
      </c>
    </row>
    <row r="1532">
      <c r="A1532" t="n">
        <v>61181</v>
      </c>
      <c r="B1532" t="inlineStr">
        <is>
          <t>建達一</t>
        </is>
      </c>
      <c r="C1532" t="n">
        <v>265</v>
      </c>
      <c r="D1532" t="n">
        <v>86</v>
      </c>
    </row>
    <row r="1533">
      <c r="A1533" t="n">
        <v>61182</v>
      </c>
      <c r="B1533" t="inlineStr">
        <is>
          <t>建達二</t>
        </is>
      </c>
      <c r="C1533" t="n">
        <v>112.1</v>
      </c>
      <c r="D1533" t="n">
        <v>80</v>
      </c>
    </row>
    <row r="1534">
      <c r="A1534" t="n">
        <v>61191</v>
      </c>
      <c r="B1534" t="inlineStr">
        <is>
          <t>大傳一</t>
        </is>
      </c>
      <c r="C1534" t="n">
        <v>142</v>
      </c>
      <c r="D1534" t="n">
        <v>90.25</v>
      </c>
    </row>
    <row r="1535">
      <c r="A1535" t="n">
        <v>61192</v>
      </c>
      <c r="B1535" t="inlineStr">
        <is>
          <t>大傳二</t>
        </is>
      </c>
      <c r="C1535" t="n">
        <v>106</v>
      </c>
      <c r="D1535" t="n">
        <v>82</v>
      </c>
    </row>
    <row r="1536">
      <c r="A1536" t="n">
        <v>61201</v>
      </c>
      <c r="B1536" t="inlineStr">
        <is>
          <t>輔祥一</t>
        </is>
      </c>
      <c r="C1536" t="n">
        <v>245</v>
      </c>
      <c r="D1536" t="n">
        <v>94</v>
      </c>
    </row>
    <row r="1537">
      <c r="A1537" t="n">
        <v>61202</v>
      </c>
      <c r="B1537" t="inlineStr">
        <is>
          <t>輔祥二</t>
        </is>
      </c>
      <c r="C1537" t="n">
        <v>235</v>
      </c>
      <c r="D1537" t="n">
        <v>94</v>
      </c>
    </row>
    <row r="1538">
      <c r="A1538" t="n">
        <v>61203</v>
      </c>
      <c r="B1538" t="inlineStr">
        <is>
          <t>輔祥三</t>
        </is>
      </c>
      <c r="C1538" t="n">
        <v>176</v>
      </c>
      <c r="D1538" t="n">
        <v>61.5</v>
      </c>
    </row>
    <row r="1539">
      <c r="A1539" t="n">
        <v>61204</v>
      </c>
      <c r="B1539" t="inlineStr">
        <is>
          <t>輔祥四</t>
        </is>
      </c>
      <c r="C1539" t="n">
        <v>104</v>
      </c>
      <c r="D1539" t="n">
        <v>98</v>
      </c>
    </row>
    <row r="1540">
      <c r="A1540" t="n">
        <v>61211</v>
      </c>
      <c r="B1540" t="inlineStr">
        <is>
          <t>新普一</t>
        </is>
      </c>
      <c r="C1540" t="n">
        <v>198</v>
      </c>
      <c r="D1540" t="n">
        <v>126</v>
      </c>
    </row>
    <row r="1541">
      <c r="A1541" t="n">
        <v>61221</v>
      </c>
      <c r="B1541" t="inlineStr">
        <is>
          <t>擎邦一</t>
        </is>
      </c>
      <c r="C1541" t="n">
        <v>228</v>
      </c>
      <c r="D1541" t="n">
        <v>88</v>
      </c>
    </row>
    <row r="1542">
      <c r="A1542" t="n">
        <v>61222</v>
      </c>
      <c r="B1542" t="inlineStr">
        <is>
          <t>擎邦二</t>
        </is>
      </c>
      <c r="C1542" t="n">
        <v>185</v>
      </c>
      <c r="D1542" t="n">
        <v>98</v>
      </c>
    </row>
    <row r="1543">
      <c r="A1543" t="n">
        <v>61231</v>
      </c>
      <c r="B1543" t="inlineStr">
        <is>
          <t>上奇一</t>
        </is>
      </c>
      <c r="C1543" t="n">
        <v>110</v>
      </c>
      <c r="D1543" t="n">
        <v>84</v>
      </c>
    </row>
    <row r="1544">
      <c r="A1544" t="n">
        <v>61232</v>
      </c>
      <c r="B1544" t="inlineStr">
        <is>
          <t>上奇二</t>
        </is>
      </c>
      <c r="C1544" t="n">
        <v>114</v>
      </c>
      <c r="D1544" t="n">
        <v>95</v>
      </c>
    </row>
    <row r="1545">
      <c r="A1545" t="n">
        <v>61251</v>
      </c>
      <c r="B1545" t="inlineStr">
        <is>
          <t>廣運一</t>
        </is>
      </c>
      <c r="C1545" t="n">
        <v>210</v>
      </c>
      <c r="D1545" t="n">
        <v>160</v>
      </c>
    </row>
    <row r="1546">
      <c r="A1546" t="n">
        <v>61252</v>
      </c>
      <c r="B1546" t="inlineStr">
        <is>
          <t>廣運二</t>
        </is>
      </c>
      <c r="C1546" t="n">
        <v>159</v>
      </c>
      <c r="D1546" t="n">
        <v>72.7</v>
      </c>
    </row>
    <row r="1547">
      <c r="A1547" t="n">
        <v>61253</v>
      </c>
      <c r="B1547" t="inlineStr">
        <is>
          <t>廣運三</t>
        </is>
      </c>
      <c r="C1547" t="n">
        <v>135.9</v>
      </c>
      <c r="D1547" t="n">
        <v>84.5</v>
      </c>
    </row>
    <row r="1548">
      <c r="A1548" t="n">
        <v>61254</v>
      </c>
      <c r="B1548" t="inlineStr">
        <is>
          <t>廣運四</t>
        </is>
      </c>
      <c r="C1548" t="n">
        <v>136</v>
      </c>
      <c r="D1548" t="n">
        <v>98.5</v>
      </c>
    </row>
    <row r="1549">
      <c r="A1549" t="n">
        <v>61255</v>
      </c>
      <c r="B1549" t="inlineStr">
        <is>
          <t>廣運五</t>
        </is>
      </c>
      <c r="C1549" t="n">
        <v>125</v>
      </c>
      <c r="D1549" t="n">
        <v>94.84999999999999</v>
      </c>
    </row>
    <row r="1550">
      <c r="A1550" t="n">
        <v>61261</v>
      </c>
      <c r="B1550" t="inlineStr">
        <is>
          <t>信音一</t>
        </is>
      </c>
      <c r="C1550" t="n">
        <v>210</v>
      </c>
      <c r="D1550" t="n">
        <v>95</v>
      </c>
    </row>
    <row r="1551">
      <c r="A1551" t="n">
        <v>61262</v>
      </c>
      <c r="B1551" t="inlineStr">
        <is>
          <t>信音二</t>
        </is>
      </c>
      <c r="C1551" t="n">
        <v>172</v>
      </c>
      <c r="D1551" t="n">
        <v>109.9</v>
      </c>
    </row>
    <row r="1552">
      <c r="A1552" t="n">
        <v>61263</v>
      </c>
      <c r="B1552" t="inlineStr">
        <is>
          <t>信音三</t>
        </is>
      </c>
      <c r="C1552" t="n">
        <v>152</v>
      </c>
      <c r="D1552" t="n">
        <v>99.59999999999999</v>
      </c>
    </row>
    <row r="1553">
      <c r="A1553" t="n">
        <v>61271</v>
      </c>
      <c r="B1553" t="inlineStr">
        <is>
          <t>九豪一</t>
        </is>
      </c>
      <c r="C1553" t="n">
        <v>105</v>
      </c>
      <c r="D1553" t="n">
        <v>100</v>
      </c>
    </row>
    <row r="1554">
      <c r="A1554" t="n">
        <v>61272</v>
      </c>
      <c r="B1554" t="inlineStr">
        <is>
          <t>九豪二</t>
        </is>
      </c>
      <c r="C1554" t="n">
        <v>107.5</v>
      </c>
      <c r="D1554" t="n">
        <v>100</v>
      </c>
    </row>
    <row r="1555">
      <c r="A1555" t="n">
        <v>61273</v>
      </c>
      <c r="B1555" t="inlineStr">
        <is>
          <t>九豪三</t>
        </is>
      </c>
      <c r="C1555" t="n">
        <v>148</v>
      </c>
      <c r="D1555" t="n">
        <v>98</v>
      </c>
    </row>
    <row r="1556">
      <c r="A1556" t="n">
        <v>61274</v>
      </c>
      <c r="B1556" t="inlineStr">
        <is>
          <t>九豪四</t>
        </is>
      </c>
      <c r="C1556" t="n">
        <v>160</v>
      </c>
      <c r="D1556" t="n">
        <v>100</v>
      </c>
    </row>
    <row r="1557">
      <c r="A1557" t="n">
        <v>61291</v>
      </c>
      <c r="B1557" t="inlineStr">
        <is>
          <t>普誠一</t>
        </is>
      </c>
      <c r="C1557" t="n">
        <v>123.5</v>
      </c>
      <c r="D1557" t="n">
        <v>100</v>
      </c>
    </row>
    <row r="1558">
      <c r="A1558" t="n">
        <v>61311</v>
      </c>
      <c r="B1558" t="inlineStr">
        <is>
          <t>悠克一</t>
        </is>
      </c>
      <c r="C1558" t="n">
        <v>230</v>
      </c>
      <c r="D1558" t="n">
        <v>150</v>
      </c>
    </row>
    <row r="1559">
      <c r="A1559" t="n">
        <v>61312</v>
      </c>
      <c r="B1559" t="inlineStr">
        <is>
          <t>悠克二</t>
        </is>
      </c>
      <c r="C1559" t="n">
        <v>199</v>
      </c>
      <c r="D1559" t="n">
        <v>102</v>
      </c>
    </row>
    <row r="1560">
      <c r="A1560" t="n">
        <v>61321</v>
      </c>
      <c r="B1560" t="inlineStr">
        <is>
          <t>銳普一</t>
        </is>
      </c>
      <c r="C1560" t="n">
        <v>182</v>
      </c>
      <c r="D1560" t="n">
        <v>63</v>
      </c>
    </row>
    <row r="1561">
      <c r="A1561" t="n">
        <v>61331</v>
      </c>
      <c r="B1561" t="inlineStr">
        <is>
          <t>金橋一</t>
        </is>
      </c>
      <c r="C1561" t="n">
        <v>187</v>
      </c>
      <c r="D1561" t="n">
        <v>93</v>
      </c>
    </row>
    <row r="1562">
      <c r="A1562" t="n">
        <v>61332</v>
      </c>
      <c r="B1562" t="inlineStr">
        <is>
          <t>金橋二</t>
        </is>
      </c>
      <c r="C1562" t="n">
        <v>153</v>
      </c>
      <c r="D1562" t="n">
        <v>88</v>
      </c>
    </row>
    <row r="1563">
      <c r="A1563" t="n">
        <v>61341</v>
      </c>
      <c r="B1563" t="inlineStr">
        <is>
          <t>萬旭一</t>
        </is>
      </c>
      <c r="C1563" t="n">
        <v>128</v>
      </c>
      <c r="D1563" t="n">
        <v>99.7</v>
      </c>
    </row>
    <row r="1564">
      <c r="A1564" t="n">
        <v>61342</v>
      </c>
      <c r="B1564" t="inlineStr">
        <is>
          <t>萬旭二</t>
        </is>
      </c>
      <c r="C1564" t="n">
        <v>205</v>
      </c>
      <c r="D1564" t="n">
        <v>102.5</v>
      </c>
    </row>
    <row r="1565">
      <c r="A1565" t="n">
        <v>61351</v>
      </c>
      <c r="B1565" t="inlineStr">
        <is>
          <t>佳營一</t>
        </is>
      </c>
      <c r="C1565" t="n">
        <v>114.55</v>
      </c>
      <c r="D1565" t="n">
        <v>58.5</v>
      </c>
    </row>
    <row r="1566">
      <c r="A1566" t="n">
        <v>61361</v>
      </c>
      <c r="B1566" t="inlineStr">
        <is>
          <t>富爾一</t>
        </is>
      </c>
      <c r="C1566" t="n">
        <v>141.9</v>
      </c>
      <c r="D1566" t="n">
        <v>96</v>
      </c>
    </row>
    <row r="1567">
      <c r="A1567" t="n">
        <v>61362</v>
      </c>
      <c r="B1567" t="inlineStr">
        <is>
          <t>富爾二</t>
        </is>
      </c>
      <c r="C1567" t="n">
        <v>109.5</v>
      </c>
      <c r="D1567" t="n">
        <v>89.5</v>
      </c>
    </row>
    <row r="1568">
      <c r="A1568" t="n">
        <v>61381</v>
      </c>
      <c r="B1568" t="inlineStr">
        <is>
          <t>茂達一</t>
        </is>
      </c>
      <c r="C1568" t="n">
        <v>428</v>
      </c>
      <c r="D1568" t="n">
        <v>99.5</v>
      </c>
    </row>
    <row r="1569">
      <c r="A1569" t="n">
        <v>61391</v>
      </c>
      <c r="B1569" t="inlineStr">
        <is>
          <t>亞翔一</t>
        </is>
      </c>
      <c r="C1569" t="n">
        <v>251</v>
      </c>
      <c r="D1569" t="n">
        <v>181</v>
      </c>
    </row>
    <row r="1570">
      <c r="A1570" t="n">
        <v>61392</v>
      </c>
      <c r="B1570" t="inlineStr">
        <is>
          <t>亞翔二</t>
        </is>
      </c>
      <c r="C1570" t="n">
        <v>116</v>
      </c>
      <c r="D1570" t="n">
        <v>99.55</v>
      </c>
    </row>
    <row r="1571">
      <c r="A1571" t="n">
        <v>61393</v>
      </c>
      <c r="B1571" t="inlineStr">
        <is>
          <t>亞翔三</t>
        </is>
      </c>
      <c r="C1571" t="n">
        <v>220</v>
      </c>
      <c r="D1571" t="n">
        <v>99.95</v>
      </c>
    </row>
    <row r="1572">
      <c r="A1572" t="n">
        <v>61394</v>
      </c>
      <c r="B1572" t="inlineStr">
        <is>
          <t>亞翔四</t>
        </is>
      </c>
      <c r="C1572" t="n">
        <v>385</v>
      </c>
      <c r="D1572" t="n">
        <v>110</v>
      </c>
    </row>
    <row r="1573">
      <c r="A1573" t="n">
        <v>61411</v>
      </c>
      <c r="B1573" t="inlineStr">
        <is>
          <t>柏承一</t>
        </is>
      </c>
      <c r="C1573" t="n">
        <v>148.4</v>
      </c>
      <c r="D1573" t="n">
        <v>102.5</v>
      </c>
    </row>
    <row r="1574">
      <c r="A1574" t="n">
        <v>61412</v>
      </c>
      <c r="B1574" t="inlineStr">
        <is>
          <t>柏承二</t>
        </is>
      </c>
      <c r="C1574" t="n">
        <v>246</v>
      </c>
      <c r="D1574" t="n">
        <v>92</v>
      </c>
    </row>
    <row r="1575">
      <c r="A1575" t="n">
        <v>61421</v>
      </c>
      <c r="B1575" t="inlineStr">
        <is>
          <t>友勁一</t>
        </is>
      </c>
      <c r="C1575" t="n">
        <v>131.95</v>
      </c>
      <c r="D1575" t="n">
        <v>80</v>
      </c>
    </row>
    <row r="1576">
      <c r="A1576" t="n">
        <v>61451</v>
      </c>
      <c r="B1576" t="inlineStr">
        <is>
          <t>勁永一</t>
        </is>
      </c>
      <c r="C1576" t="n">
        <v>166</v>
      </c>
      <c r="D1576" t="n">
        <v>56.35</v>
      </c>
    </row>
    <row r="1577">
      <c r="A1577" t="n">
        <v>61461</v>
      </c>
      <c r="B1577" t="inlineStr">
        <is>
          <t>耕興一</t>
        </is>
      </c>
      <c r="C1577" t="n">
        <v>140</v>
      </c>
      <c r="D1577" t="n">
        <v>94</v>
      </c>
    </row>
    <row r="1578">
      <c r="A1578" t="n">
        <v>61462</v>
      </c>
      <c r="B1578" t="inlineStr">
        <is>
          <t>耕興二</t>
        </is>
      </c>
      <c r="C1578" t="n">
        <v>150</v>
      </c>
      <c r="D1578" t="n">
        <v>103</v>
      </c>
    </row>
    <row r="1579">
      <c r="A1579" t="n">
        <v>61471</v>
      </c>
      <c r="B1579" t="inlineStr">
        <is>
          <t>頎邦一</t>
        </is>
      </c>
      <c r="C1579" t="n">
        <v>219</v>
      </c>
      <c r="D1579" t="n">
        <v>91</v>
      </c>
    </row>
    <row r="1580">
      <c r="A1580" t="n">
        <v>61472</v>
      </c>
      <c r="B1580" t="inlineStr">
        <is>
          <t>頎邦二</t>
        </is>
      </c>
      <c r="C1580" t="n">
        <v>228</v>
      </c>
      <c r="D1580" t="n">
        <v>89</v>
      </c>
    </row>
    <row r="1581">
      <c r="A1581" t="n">
        <v>61501</v>
      </c>
      <c r="B1581" t="inlineStr">
        <is>
          <t>撼訊一</t>
        </is>
      </c>
      <c r="C1581" t="n">
        <v>162</v>
      </c>
      <c r="D1581" t="n">
        <v>150</v>
      </c>
    </row>
    <row r="1582">
      <c r="A1582" t="n">
        <v>61502</v>
      </c>
      <c r="B1582" t="inlineStr">
        <is>
          <t>撼訊二</t>
        </is>
      </c>
      <c r="C1582" t="n">
        <v>112</v>
      </c>
      <c r="D1582" t="n">
        <v>75.15000000000001</v>
      </c>
    </row>
    <row r="1583">
      <c r="A1583" t="n">
        <v>61503</v>
      </c>
      <c r="B1583" t="inlineStr">
        <is>
          <t>撼訊三</t>
        </is>
      </c>
      <c r="C1583" t="n">
        <v>116</v>
      </c>
      <c r="D1583" t="n">
        <v>95</v>
      </c>
    </row>
    <row r="1584">
      <c r="A1584" t="n">
        <v>61504</v>
      </c>
      <c r="B1584" t="inlineStr">
        <is>
          <t>撼訊四</t>
        </is>
      </c>
      <c r="C1584" t="n">
        <v>170</v>
      </c>
      <c r="D1584" t="n">
        <v>105.3</v>
      </c>
    </row>
    <row r="1585">
      <c r="A1585" t="n">
        <v>61505</v>
      </c>
      <c r="B1585" t="inlineStr">
        <is>
          <t>撼訊五</t>
        </is>
      </c>
      <c r="C1585" t="n">
        <v>147</v>
      </c>
      <c r="D1585" t="n">
        <v>92</v>
      </c>
    </row>
    <row r="1586">
      <c r="A1586" t="n">
        <v>61506</v>
      </c>
      <c r="B1586" t="inlineStr">
        <is>
          <t>撼訊六</t>
        </is>
      </c>
      <c r="C1586" t="n">
        <v>117</v>
      </c>
      <c r="D1586" t="n">
        <v>93</v>
      </c>
    </row>
    <row r="1587">
      <c r="A1587" t="n">
        <v>61521</v>
      </c>
      <c r="B1587" t="inlineStr">
        <is>
          <t>百一一</t>
        </is>
      </c>
      <c r="C1587" t="n">
        <v>307</v>
      </c>
      <c r="D1587" t="n">
        <v>127</v>
      </c>
    </row>
    <row r="1588">
      <c r="A1588" t="n">
        <v>61522</v>
      </c>
      <c r="B1588" t="inlineStr">
        <is>
          <t>百一二</t>
        </is>
      </c>
      <c r="C1588" t="n">
        <v>153</v>
      </c>
      <c r="D1588" t="n">
        <v>93</v>
      </c>
    </row>
    <row r="1589">
      <c r="A1589" t="n">
        <v>61531</v>
      </c>
      <c r="B1589" t="inlineStr">
        <is>
          <t>嘉聯一</t>
        </is>
      </c>
      <c r="C1589" t="n">
        <v>252</v>
      </c>
      <c r="D1589" t="n">
        <v>143</v>
      </c>
    </row>
    <row r="1590">
      <c r="A1590" t="n">
        <v>61532</v>
      </c>
      <c r="B1590" t="inlineStr">
        <is>
          <t>嘉聯益二</t>
        </is>
      </c>
      <c r="C1590" t="n">
        <v>124</v>
      </c>
      <c r="D1590" t="n">
        <v>90</v>
      </c>
    </row>
    <row r="1591">
      <c r="A1591" t="n">
        <v>61533</v>
      </c>
      <c r="B1591" t="inlineStr">
        <is>
          <t>嘉聯益三</t>
        </is>
      </c>
      <c r="C1591" t="n">
        <v>106</v>
      </c>
      <c r="D1591" t="n">
        <v>95</v>
      </c>
    </row>
    <row r="1592">
      <c r="A1592" t="n">
        <v>61534</v>
      </c>
      <c r="B1592" t="inlineStr">
        <is>
          <t>嘉聯益四</t>
        </is>
      </c>
      <c r="C1592" t="n">
        <v>100</v>
      </c>
      <c r="D1592" t="n">
        <v>92.5</v>
      </c>
    </row>
    <row r="1593">
      <c r="A1593" t="n">
        <v>61551</v>
      </c>
      <c r="B1593" t="inlineStr">
        <is>
          <t>鈞寶一</t>
        </is>
      </c>
      <c r="C1593" t="n">
        <v>202</v>
      </c>
      <c r="D1593" t="n">
        <v>114</v>
      </c>
    </row>
    <row r="1594">
      <c r="A1594" t="n">
        <v>61552</v>
      </c>
      <c r="B1594" t="inlineStr">
        <is>
          <t>鈞寶二</t>
        </is>
      </c>
      <c r="C1594" t="n">
        <v>170</v>
      </c>
      <c r="D1594" t="n">
        <v>114</v>
      </c>
    </row>
    <row r="1595">
      <c r="A1595" t="n">
        <v>61561</v>
      </c>
      <c r="B1595" t="inlineStr">
        <is>
          <t>科橋一</t>
        </is>
      </c>
      <c r="C1595" t="n">
        <v>126.9</v>
      </c>
      <c r="D1595" t="n">
        <v>101.15</v>
      </c>
    </row>
    <row r="1596">
      <c r="A1596" t="n">
        <v>61562</v>
      </c>
      <c r="B1596" t="inlineStr">
        <is>
          <t>松上二</t>
        </is>
      </c>
      <c r="C1596" t="n">
        <v>119</v>
      </c>
      <c r="D1596" t="n">
        <v>99.5</v>
      </c>
    </row>
    <row r="1597">
      <c r="A1597" t="n">
        <v>61563</v>
      </c>
      <c r="B1597" t="inlineStr">
        <is>
          <t>松上三</t>
        </is>
      </c>
      <c r="C1597" t="n">
        <v>115</v>
      </c>
      <c r="D1597" t="n">
        <v>99.5</v>
      </c>
    </row>
    <row r="1598">
      <c r="A1598" t="n">
        <v>61564</v>
      </c>
      <c r="B1598" t="inlineStr">
        <is>
          <t>松上四</t>
        </is>
      </c>
      <c r="C1598" t="n">
        <v>189</v>
      </c>
      <c r="D1598" t="n">
        <v>95.5</v>
      </c>
    </row>
    <row r="1599">
      <c r="A1599" t="n">
        <v>61565</v>
      </c>
      <c r="B1599" t="inlineStr">
        <is>
          <t>松上五</t>
        </is>
      </c>
      <c r="C1599" t="n">
        <v>111.3</v>
      </c>
      <c r="D1599" t="n">
        <v>98</v>
      </c>
      <c r="F1599" s="208" t="inlineStr"/>
    </row>
    <row r="1600">
      <c r="A1600" t="n">
        <v>61581</v>
      </c>
      <c r="B1600" t="inlineStr">
        <is>
          <t>禾昌一</t>
        </is>
      </c>
      <c r="C1600" t="n">
        <v>278</v>
      </c>
      <c r="D1600" t="n">
        <v>100</v>
      </c>
    </row>
    <row r="1601">
      <c r="A1601" t="n">
        <v>61591</v>
      </c>
      <c r="B1601" t="inlineStr">
        <is>
          <t>詮鼎一</t>
        </is>
      </c>
      <c r="C1601" t="n">
        <v>200</v>
      </c>
      <c r="D1601" t="n">
        <v>106</v>
      </c>
    </row>
    <row r="1602">
      <c r="A1602" t="n">
        <v>61592</v>
      </c>
      <c r="B1602" t="inlineStr">
        <is>
          <t>詮鼎二</t>
        </is>
      </c>
      <c r="C1602" t="n">
        <v>162</v>
      </c>
      <c r="D1602" t="n">
        <v>67.2</v>
      </c>
    </row>
    <row r="1603">
      <c r="A1603" t="n">
        <v>61593</v>
      </c>
      <c r="B1603" t="inlineStr">
        <is>
          <t>詮鼎三</t>
        </is>
      </c>
      <c r="C1603" t="n">
        <v>114</v>
      </c>
      <c r="D1603" t="n">
        <v>82.8</v>
      </c>
    </row>
    <row r="1604">
      <c r="A1604" t="n">
        <v>61611</v>
      </c>
      <c r="B1604" t="inlineStr">
        <is>
          <t>捷波一</t>
        </is>
      </c>
      <c r="C1604" t="n">
        <v>113.35</v>
      </c>
      <c r="D1604" t="n">
        <v>82</v>
      </c>
    </row>
    <row r="1605">
      <c r="A1605" t="n">
        <v>61612</v>
      </c>
      <c r="B1605" t="inlineStr">
        <is>
          <t>捷波二</t>
        </is>
      </c>
      <c r="C1605" t="n">
        <v>205</v>
      </c>
      <c r="D1605" t="n">
        <v>70.8</v>
      </c>
    </row>
    <row r="1606">
      <c r="A1606" t="n">
        <v>61613</v>
      </c>
      <c r="B1606" t="inlineStr">
        <is>
          <t>捷波三</t>
        </is>
      </c>
      <c r="C1606" t="n">
        <v>123.2</v>
      </c>
      <c r="D1606" t="n">
        <v>99.5</v>
      </c>
    </row>
    <row r="1607">
      <c r="A1607" t="n">
        <v>61621</v>
      </c>
      <c r="B1607" t="inlineStr">
        <is>
          <t>鴻源一</t>
        </is>
      </c>
      <c r="C1607" t="n">
        <v>185</v>
      </c>
      <c r="D1607" t="n">
        <v>81.84999999999999</v>
      </c>
    </row>
    <row r="1608">
      <c r="A1608" t="n">
        <v>61632</v>
      </c>
      <c r="B1608" t="inlineStr">
        <is>
          <t>華電網二</t>
        </is>
      </c>
      <c r="C1608" t="n">
        <v>136</v>
      </c>
      <c r="D1608" t="n">
        <v>104.1</v>
      </c>
    </row>
    <row r="1609">
      <c r="A1609" t="n">
        <v>61633</v>
      </c>
      <c r="B1609" t="inlineStr">
        <is>
          <t>華電網三</t>
        </is>
      </c>
      <c r="C1609" t="n">
        <v>145.5</v>
      </c>
      <c r="D1609" t="n">
        <v>107</v>
      </c>
    </row>
    <row r="1610">
      <c r="A1610" t="n">
        <v>61634</v>
      </c>
      <c r="B1610" t="inlineStr">
        <is>
          <t>華電網四</t>
        </is>
      </c>
      <c r="C1610" t="n">
        <v>170</v>
      </c>
      <c r="D1610" t="n">
        <v>98</v>
      </c>
    </row>
    <row r="1611">
      <c r="A1611" t="n">
        <v>61635</v>
      </c>
      <c r="B1611" t="inlineStr">
        <is>
          <t>華電網五</t>
        </is>
      </c>
      <c r="C1611" t="n">
        <v>291</v>
      </c>
      <c r="D1611" t="n">
        <v>100.15</v>
      </c>
    </row>
    <row r="1612">
      <c r="A1612" t="n">
        <v>61641</v>
      </c>
      <c r="B1612" t="inlineStr">
        <is>
          <t>華興一</t>
        </is>
      </c>
      <c r="C1612" t="n">
        <v>172</v>
      </c>
      <c r="D1612" t="n">
        <v>85</v>
      </c>
    </row>
    <row r="1613">
      <c r="A1613" t="n">
        <v>61642</v>
      </c>
      <c r="B1613" t="inlineStr">
        <is>
          <t>華興二</t>
        </is>
      </c>
      <c r="C1613" t="n">
        <v>136.2</v>
      </c>
      <c r="D1613" t="n">
        <v>96</v>
      </c>
    </row>
    <row r="1614">
      <c r="A1614" t="n">
        <v>61661</v>
      </c>
      <c r="B1614" t="inlineStr">
        <is>
          <t>凌華一</t>
        </is>
      </c>
      <c r="C1614" t="n">
        <v>230</v>
      </c>
      <c r="D1614" t="n">
        <v>128</v>
      </c>
    </row>
    <row r="1615">
      <c r="A1615" t="n">
        <v>61671</v>
      </c>
      <c r="B1615" t="inlineStr">
        <is>
          <t>久正一</t>
        </is>
      </c>
      <c r="C1615" t="n">
        <v>176</v>
      </c>
      <c r="D1615" t="n">
        <v>65</v>
      </c>
    </row>
    <row r="1616">
      <c r="A1616" t="n">
        <v>61681</v>
      </c>
      <c r="B1616" t="inlineStr">
        <is>
          <t>宏齊一</t>
        </is>
      </c>
      <c r="C1616" t="n">
        <v>180</v>
      </c>
      <c r="D1616" t="n">
        <v>100.5</v>
      </c>
    </row>
    <row r="1617">
      <c r="A1617" t="n">
        <v>61682</v>
      </c>
      <c r="B1617" t="inlineStr">
        <is>
          <t>宏齊二</t>
        </is>
      </c>
      <c r="C1617" t="n">
        <v>155</v>
      </c>
      <c r="D1617" t="n">
        <v>89.59999999999999</v>
      </c>
    </row>
    <row r="1618">
      <c r="A1618" t="n">
        <v>61683</v>
      </c>
      <c r="B1618" t="inlineStr">
        <is>
          <t>宏齊三</t>
        </is>
      </c>
      <c r="C1618" t="n">
        <v>127</v>
      </c>
      <c r="D1618" t="n">
        <v>92.09999999999999</v>
      </c>
    </row>
    <row r="1619">
      <c r="A1619" t="n">
        <v>61684</v>
      </c>
      <c r="B1619" t="inlineStr">
        <is>
          <t>宏齊四</t>
        </is>
      </c>
      <c r="C1619" t="n">
        <v>110.3</v>
      </c>
      <c r="D1619" t="n">
        <v>98.7</v>
      </c>
    </row>
    <row r="1620">
      <c r="A1620" t="n">
        <v>61701</v>
      </c>
      <c r="B1620" t="inlineStr">
        <is>
          <t>統振一</t>
        </is>
      </c>
      <c r="C1620" t="n">
        <v>140</v>
      </c>
      <c r="D1620" t="n">
        <v>88</v>
      </c>
    </row>
    <row r="1621">
      <c r="A1621" t="n">
        <v>61702</v>
      </c>
      <c r="B1621" t="inlineStr">
        <is>
          <t>統振二</t>
        </is>
      </c>
      <c r="C1621" t="n">
        <v>119</v>
      </c>
      <c r="D1621" t="n">
        <v>99</v>
      </c>
    </row>
    <row r="1622">
      <c r="A1622" t="n">
        <v>61703</v>
      </c>
      <c r="B1622" t="inlineStr">
        <is>
          <t>統振三</t>
        </is>
      </c>
      <c r="C1622" t="n">
        <v>116.9</v>
      </c>
      <c r="D1622" t="n">
        <v>99.2</v>
      </c>
    </row>
    <row r="1623">
      <c r="A1623" t="n">
        <v>61721</v>
      </c>
      <c r="B1623" t="inlineStr">
        <is>
          <t>互億一</t>
        </is>
      </c>
      <c r="C1623" t="n">
        <v>199</v>
      </c>
      <c r="D1623" t="n">
        <v>155</v>
      </c>
    </row>
    <row r="1624">
      <c r="A1624" t="n">
        <v>61731</v>
      </c>
      <c r="B1624" t="inlineStr">
        <is>
          <t>信昌一</t>
        </is>
      </c>
      <c r="C1624" t="n">
        <v>233</v>
      </c>
      <c r="D1624" t="n">
        <v>90.09999999999999</v>
      </c>
    </row>
    <row r="1625">
      <c r="A1625" t="n">
        <v>61732</v>
      </c>
      <c r="B1625" t="inlineStr">
        <is>
          <t>互億二</t>
        </is>
      </c>
      <c r="C1625" t="n">
        <v>114.45</v>
      </c>
      <c r="D1625" t="n">
        <v>97</v>
      </c>
    </row>
    <row r="1626">
      <c r="A1626" t="n">
        <v>61741</v>
      </c>
      <c r="B1626" t="inlineStr">
        <is>
          <t>安碁一</t>
        </is>
      </c>
      <c r="C1626" t="n">
        <v>121</v>
      </c>
      <c r="D1626" t="n">
        <v>81</v>
      </c>
    </row>
    <row r="1627">
      <c r="A1627" t="n">
        <v>61742</v>
      </c>
      <c r="B1627" t="inlineStr">
        <is>
          <t>安碁二</t>
        </is>
      </c>
      <c r="C1627" t="n">
        <v>99</v>
      </c>
      <c r="D1627" t="n">
        <v>72.75</v>
      </c>
    </row>
    <row r="1628">
      <c r="A1628" t="n">
        <v>61751</v>
      </c>
      <c r="B1628" t="inlineStr">
        <is>
          <t>立敦一</t>
        </is>
      </c>
      <c r="C1628" t="n">
        <v>103.45</v>
      </c>
      <c r="D1628" t="n">
        <v>93.59999999999999</v>
      </c>
    </row>
    <row r="1629">
      <c r="A1629" t="n">
        <v>61752</v>
      </c>
      <c r="B1629" t="inlineStr">
        <is>
          <t>立敦二</t>
        </is>
      </c>
      <c r="C1629" t="n">
        <v>116.75</v>
      </c>
      <c r="D1629" t="n">
        <v>98</v>
      </c>
    </row>
    <row r="1630">
      <c r="A1630" t="n">
        <v>61753</v>
      </c>
      <c r="B1630" t="inlineStr">
        <is>
          <t>立敦三</t>
        </is>
      </c>
      <c r="C1630" t="n">
        <v>201</v>
      </c>
      <c r="D1630" t="n">
        <v>99</v>
      </c>
    </row>
    <row r="1631">
      <c r="A1631" t="n">
        <v>61754</v>
      </c>
      <c r="B1631" t="inlineStr">
        <is>
          <t>立敦四</t>
        </is>
      </c>
      <c r="C1631" t="n">
        <v>133.5</v>
      </c>
      <c r="D1631" t="n">
        <v>99.84999999999999</v>
      </c>
    </row>
    <row r="1632">
      <c r="A1632" t="n">
        <v>61761</v>
      </c>
      <c r="B1632" t="inlineStr">
        <is>
          <t>瑞儀一</t>
        </is>
      </c>
      <c r="C1632" t="n">
        <v>106.55</v>
      </c>
      <c r="D1632" t="n">
        <v>97.90000000000001</v>
      </c>
    </row>
    <row r="1633">
      <c r="A1633" t="n">
        <v>61771</v>
      </c>
      <c r="B1633" t="inlineStr">
        <is>
          <t>十全一</t>
        </is>
      </c>
      <c r="C1633" t="n">
        <v>165</v>
      </c>
      <c r="D1633" t="n">
        <v>102.3</v>
      </c>
    </row>
    <row r="1634">
      <c r="A1634" t="n">
        <v>61772</v>
      </c>
      <c r="B1634" t="inlineStr">
        <is>
          <t>達麗二</t>
        </is>
      </c>
      <c r="C1634" t="n">
        <v>224</v>
      </c>
      <c r="D1634" t="n">
        <v>100.05</v>
      </c>
    </row>
    <row r="1635">
      <c r="A1635" t="n">
        <v>61773</v>
      </c>
      <c r="B1635" t="inlineStr">
        <is>
          <t>達麗三</t>
        </is>
      </c>
      <c r="C1635" t="n">
        <v>255</v>
      </c>
      <c r="D1635" t="n">
        <v>107</v>
      </c>
    </row>
    <row r="1636">
      <c r="A1636" t="n">
        <v>61774</v>
      </c>
      <c r="B1636" t="inlineStr">
        <is>
          <t>達麗四</t>
        </is>
      </c>
      <c r="C1636" t="n">
        <v>207</v>
      </c>
      <c r="D1636" t="n">
        <v>107</v>
      </c>
    </row>
    <row r="1637">
      <c r="A1637" t="n">
        <v>61775</v>
      </c>
      <c r="B1637" t="inlineStr">
        <is>
          <t>達麗五</t>
        </is>
      </c>
      <c r="C1637" t="n">
        <v>292</v>
      </c>
      <c r="D1637" t="n">
        <v>107</v>
      </c>
    </row>
    <row r="1638">
      <c r="A1638" t="n">
        <v>61776</v>
      </c>
      <c r="B1638" t="inlineStr">
        <is>
          <t>達麗六</t>
        </is>
      </c>
      <c r="C1638" t="n">
        <v>298</v>
      </c>
      <c r="D1638" t="n">
        <v>107</v>
      </c>
    </row>
    <row r="1639">
      <c r="A1639" t="n">
        <v>61777</v>
      </c>
      <c r="B1639" t="inlineStr">
        <is>
          <t>達麗七</t>
        </is>
      </c>
      <c r="C1639" t="n">
        <v>122.05</v>
      </c>
      <c r="D1639" t="n">
        <v>100.5</v>
      </c>
    </row>
    <row r="1640">
      <c r="A1640" t="n">
        <v>61781</v>
      </c>
      <c r="B1640" t="inlineStr">
        <is>
          <t>振遠一</t>
        </is>
      </c>
      <c r="C1640" t="n">
        <v>173</v>
      </c>
      <c r="D1640" t="n">
        <v>97</v>
      </c>
    </row>
    <row r="1641">
      <c r="A1641" t="n">
        <v>61782</v>
      </c>
      <c r="B1641" t="inlineStr">
        <is>
          <t>振遠二</t>
        </is>
      </c>
      <c r="C1641" t="n">
        <v>142</v>
      </c>
      <c r="D1641" t="n">
        <v>77.84999999999999</v>
      </c>
    </row>
    <row r="1642">
      <c r="A1642" t="n">
        <v>61791</v>
      </c>
      <c r="B1642" t="inlineStr">
        <is>
          <t>亞通一</t>
        </is>
      </c>
      <c r="C1642" t="n">
        <v>129</v>
      </c>
      <c r="D1642" t="n">
        <v>101</v>
      </c>
    </row>
    <row r="1643">
      <c r="A1643" t="n">
        <v>61792</v>
      </c>
      <c r="B1643" t="inlineStr">
        <is>
          <t>亞通二</t>
        </is>
      </c>
      <c r="C1643" t="n">
        <v>133</v>
      </c>
      <c r="D1643" t="n">
        <v>102</v>
      </c>
    </row>
    <row r="1644">
      <c r="A1644" t="n">
        <v>61793</v>
      </c>
      <c r="B1644" t="inlineStr">
        <is>
          <t>亞通三</t>
        </is>
      </c>
      <c r="C1644" t="n">
        <v>118</v>
      </c>
      <c r="D1644" t="n">
        <v>95.09999999999999</v>
      </c>
    </row>
    <row r="1645">
      <c r="A1645" t="n">
        <v>61794</v>
      </c>
      <c r="B1645" t="inlineStr">
        <is>
          <t>亞通四</t>
        </is>
      </c>
      <c r="C1645" t="n">
        <v>127.9</v>
      </c>
      <c r="D1645" t="n">
        <v>94.65000000000001</v>
      </c>
    </row>
    <row r="1646">
      <c r="A1646" t="n">
        <v>61801</v>
      </c>
      <c r="B1646" t="inlineStr">
        <is>
          <t>橘子一</t>
        </is>
      </c>
      <c r="C1646" t="n">
        <v>300</v>
      </c>
      <c r="D1646" t="n">
        <v>100.2</v>
      </c>
    </row>
    <row r="1647">
      <c r="A1647" t="n">
        <v>61811</v>
      </c>
      <c r="B1647" t="inlineStr">
        <is>
          <t>宇銓一</t>
        </is>
      </c>
      <c r="C1647" t="n">
        <v>139.2</v>
      </c>
      <c r="D1647" t="n">
        <v>98</v>
      </c>
    </row>
    <row r="1648">
      <c r="A1648" t="n">
        <v>61821</v>
      </c>
      <c r="B1648" t="inlineStr">
        <is>
          <t>合晶一</t>
        </is>
      </c>
      <c r="C1648" t="n">
        <v>272</v>
      </c>
      <c r="D1648" t="n">
        <v>100</v>
      </c>
    </row>
    <row r="1649">
      <c r="A1649" t="n">
        <v>61822</v>
      </c>
      <c r="B1649" t="inlineStr">
        <is>
          <t>合晶二</t>
        </is>
      </c>
      <c r="C1649" t="n">
        <v>428</v>
      </c>
      <c r="D1649" t="n">
        <v>105.5</v>
      </c>
    </row>
    <row r="1650">
      <c r="A1650" t="n">
        <v>61823</v>
      </c>
      <c r="B1650" t="inlineStr">
        <is>
          <t>合晶三</t>
        </is>
      </c>
      <c r="C1650" t="n">
        <v>427</v>
      </c>
      <c r="D1650" t="n">
        <v>100.5</v>
      </c>
    </row>
    <row r="1651">
      <c r="A1651" t="n">
        <v>61824</v>
      </c>
      <c r="B1651" t="inlineStr">
        <is>
          <t>合晶四</t>
        </is>
      </c>
      <c r="C1651" t="n">
        <v>117.1</v>
      </c>
      <c r="D1651" t="n">
        <v>81.75</v>
      </c>
    </row>
    <row r="1652">
      <c r="A1652" t="n">
        <v>61825</v>
      </c>
      <c r="B1652" t="inlineStr">
        <is>
          <t>合晶五</t>
        </is>
      </c>
      <c r="C1652" t="n">
        <v>225</v>
      </c>
      <c r="D1652" t="n">
        <v>97.09999999999999</v>
      </c>
    </row>
    <row r="1653">
      <c r="A1653" t="n">
        <v>61826</v>
      </c>
      <c r="B1653" t="inlineStr">
        <is>
          <t>合晶六</t>
        </is>
      </c>
      <c r="C1653" t="n">
        <v>308</v>
      </c>
      <c r="D1653" t="n">
        <v>110</v>
      </c>
    </row>
    <row r="1654">
      <c r="A1654" t="n">
        <v>61827</v>
      </c>
      <c r="B1654" t="inlineStr">
        <is>
          <t>合晶七</t>
        </is>
      </c>
      <c r="C1654" t="n">
        <v>159</v>
      </c>
      <c r="D1654" t="n">
        <v>91</v>
      </c>
      <c r="E1654" t="inlineStr">
        <is>
          <t>H</t>
        </is>
      </c>
      <c r="F1654" s="208" t="n">
        <v>0.03246753246753246</v>
      </c>
    </row>
    <row r="1655">
      <c r="A1655" t="n">
        <v>61828</v>
      </c>
      <c r="B1655" t="inlineStr">
        <is>
          <t>合晶八</t>
        </is>
      </c>
      <c r="C1655" t="n">
        <v>290</v>
      </c>
      <c r="D1655" t="n">
        <v>85</v>
      </c>
      <c r="E1655" t="inlineStr">
        <is>
          <t>H</t>
        </is>
      </c>
      <c r="F1655" s="208" t="n">
        <v>1.000689893066575</v>
      </c>
    </row>
    <row r="1656">
      <c r="A1656" t="n">
        <v>61841</v>
      </c>
      <c r="B1656" t="inlineStr">
        <is>
          <t>大豐電一</t>
        </is>
      </c>
      <c r="C1656" t="n">
        <v>113.2</v>
      </c>
      <c r="D1656" t="n">
        <v>100</v>
      </c>
    </row>
    <row r="1657">
      <c r="A1657" t="n">
        <v>61842</v>
      </c>
      <c r="B1657" t="inlineStr">
        <is>
          <t>大豐電二</t>
        </is>
      </c>
      <c r="C1657" t="n">
        <v>105.3</v>
      </c>
      <c r="D1657" t="n">
        <v>99.40000000000001</v>
      </c>
    </row>
    <row r="1658">
      <c r="A1658" t="n">
        <v>61843</v>
      </c>
      <c r="B1658" t="inlineStr">
        <is>
          <t>大豐電三</t>
        </is>
      </c>
      <c r="C1658" t="n">
        <v>120.3</v>
      </c>
      <c r="D1658" t="n">
        <v>97.25</v>
      </c>
      <c r="E1658" t="inlineStr">
        <is>
          <t>L</t>
        </is>
      </c>
      <c r="F1658" s="208" t="n">
        <v>-0.007653061224489796</v>
      </c>
    </row>
    <row r="1659">
      <c r="A1659" t="n">
        <v>61851</v>
      </c>
      <c r="B1659" t="inlineStr">
        <is>
          <t>幃翔一</t>
        </is>
      </c>
      <c r="C1659" t="n">
        <v>124</v>
      </c>
      <c r="D1659" t="n">
        <v>93</v>
      </c>
    </row>
    <row r="1660">
      <c r="A1660" t="n">
        <v>61861</v>
      </c>
      <c r="B1660" t="inlineStr">
        <is>
          <t>晶磊一</t>
        </is>
      </c>
      <c r="C1660" t="n">
        <v>190</v>
      </c>
      <c r="D1660" t="n">
        <v>96.34999999999999</v>
      </c>
    </row>
    <row r="1661">
      <c r="A1661" t="n">
        <v>61862</v>
      </c>
      <c r="B1661" t="inlineStr">
        <is>
          <t>晶磊二</t>
        </is>
      </c>
      <c r="C1661" t="n">
        <v>110</v>
      </c>
      <c r="D1661" t="n">
        <v>89.90000000000001</v>
      </c>
    </row>
    <row r="1662">
      <c r="A1662" t="n">
        <v>61871</v>
      </c>
      <c r="B1662" t="inlineStr">
        <is>
          <t>萬潤一</t>
        </is>
      </c>
      <c r="C1662" t="n">
        <v>245</v>
      </c>
      <c r="D1662" t="n">
        <v>112</v>
      </c>
    </row>
    <row r="1663">
      <c r="A1663" t="n">
        <v>61872</v>
      </c>
      <c r="B1663" t="inlineStr">
        <is>
          <t>萬潤二</t>
        </is>
      </c>
      <c r="C1663" t="n">
        <v>145.2</v>
      </c>
      <c r="D1663" t="n">
        <v>91</v>
      </c>
    </row>
    <row r="1664">
      <c r="A1664" t="n">
        <v>61873</v>
      </c>
      <c r="B1664" t="inlineStr">
        <is>
          <t>萬潤三</t>
        </is>
      </c>
      <c r="C1664" t="n">
        <v>111.5</v>
      </c>
      <c r="D1664" t="n">
        <v>80</v>
      </c>
    </row>
    <row r="1665">
      <c r="A1665" t="n">
        <v>61874</v>
      </c>
      <c r="B1665" t="inlineStr">
        <is>
          <t>萬潤四</t>
        </is>
      </c>
      <c r="C1665" t="n">
        <v>467</v>
      </c>
      <c r="D1665" t="n">
        <v>98</v>
      </c>
    </row>
    <row r="1666">
      <c r="A1666" t="n">
        <v>61875</v>
      </c>
      <c r="B1666" t="inlineStr">
        <is>
          <t>萬潤五</t>
        </is>
      </c>
      <c r="C1666" t="n">
        <v>510</v>
      </c>
      <c r="D1666" t="n">
        <v>102.5</v>
      </c>
      <c r="F1666" s="208" t="inlineStr"/>
    </row>
    <row r="1667">
      <c r="A1667" t="n">
        <v>61891</v>
      </c>
      <c r="B1667" t="inlineStr">
        <is>
          <t>豐藝一</t>
        </is>
      </c>
      <c r="C1667" t="n">
        <v>178</v>
      </c>
      <c r="D1667" t="n">
        <v>97</v>
      </c>
    </row>
    <row r="1668">
      <c r="A1668" t="n">
        <v>61892</v>
      </c>
      <c r="B1668" t="inlineStr">
        <is>
          <t>豐藝二</t>
        </is>
      </c>
      <c r="C1668" t="n">
        <v>166</v>
      </c>
      <c r="D1668" t="n">
        <v>97.8</v>
      </c>
    </row>
    <row r="1669">
      <c r="A1669" t="n">
        <v>61893</v>
      </c>
      <c r="B1669" t="inlineStr">
        <is>
          <t>豐藝三</t>
        </is>
      </c>
      <c r="C1669" t="n">
        <v>152</v>
      </c>
      <c r="D1669" t="n">
        <v>99.59999999999999</v>
      </c>
    </row>
    <row r="1670">
      <c r="A1670" t="n">
        <v>61894</v>
      </c>
      <c r="B1670" t="inlineStr">
        <is>
          <t>豐藝四</t>
        </is>
      </c>
      <c r="C1670" t="n">
        <v>195</v>
      </c>
      <c r="D1670" t="n">
        <v>109.65</v>
      </c>
    </row>
    <row r="1671">
      <c r="A1671" t="n">
        <v>61901</v>
      </c>
      <c r="B1671" t="inlineStr">
        <is>
          <t>萬泰科一</t>
        </is>
      </c>
      <c r="C1671" t="n">
        <v>147.5</v>
      </c>
      <c r="D1671" t="n">
        <v>94.05</v>
      </c>
    </row>
    <row r="1672">
      <c r="A1672" t="n">
        <v>61902</v>
      </c>
      <c r="B1672" t="inlineStr">
        <is>
          <t>萬泰科二</t>
        </is>
      </c>
      <c r="C1672" t="n">
        <v>119</v>
      </c>
      <c r="D1672" t="n">
        <v>81</v>
      </c>
    </row>
    <row r="1673">
      <c r="A1673" t="n">
        <v>61903</v>
      </c>
      <c r="B1673" t="inlineStr">
        <is>
          <t>萬泰科三</t>
        </is>
      </c>
      <c r="C1673" t="n">
        <v>111</v>
      </c>
      <c r="D1673" t="n">
        <v>94.5</v>
      </c>
    </row>
    <row r="1674">
      <c r="A1674" t="n">
        <v>61904</v>
      </c>
      <c r="B1674" t="inlineStr">
        <is>
          <t>萬泰科四</t>
        </is>
      </c>
      <c r="C1674" t="n">
        <v>161</v>
      </c>
      <c r="D1674" t="n">
        <v>100</v>
      </c>
    </row>
    <row r="1675">
      <c r="A1675" t="n">
        <v>61905</v>
      </c>
      <c r="B1675" t="inlineStr">
        <is>
          <t>萬泰科五</t>
        </is>
      </c>
      <c r="C1675" t="n">
        <v>185</v>
      </c>
      <c r="D1675" t="n">
        <v>103</v>
      </c>
    </row>
    <row r="1676">
      <c r="A1676" t="n">
        <v>61906</v>
      </c>
      <c r="B1676" t="inlineStr">
        <is>
          <t>萬泰科六</t>
        </is>
      </c>
      <c r="C1676" t="n">
        <v>166</v>
      </c>
      <c r="D1676" t="n">
        <v>96.09999999999999</v>
      </c>
    </row>
    <row r="1677">
      <c r="A1677" t="n">
        <v>61907</v>
      </c>
      <c r="B1677" t="inlineStr">
        <is>
          <t>萬泰科七</t>
        </is>
      </c>
      <c r="C1677" t="n">
        <v>218</v>
      </c>
      <c r="D1677" t="n">
        <v>109</v>
      </c>
      <c r="E1677" t="inlineStr">
        <is>
          <t>H</t>
        </is>
      </c>
      <c r="F1677" s="208" t="n">
        <v>0.2247191011235955</v>
      </c>
    </row>
    <row r="1678">
      <c r="A1678" t="n">
        <v>61911</v>
      </c>
      <c r="B1678" t="inlineStr">
        <is>
          <t>精成一</t>
        </is>
      </c>
      <c r="C1678" t="n">
        <v>109.4</v>
      </c>
      <c r="D1678" t="n">
        <v>94</v>
      </c>
    </row>
    <row r="1679">
      <c r="A1679" t="n">
        <v>61931</v>
      </c>
      <c r="B1679" t="inlineStr">
        <is>
          <t>洪氏一</t>
        </is>
      </c>
      <c r="C1679" t="n">
        <v>136</v>
      </c>
      <c r="D1679" t="n">
        <v>98</v>
      </c>
    </row>
    <row r="1680">
      <c r="A1680" t="n">
        <v>61941</v>
      </c>
      <c r="B1680" t="inlineStr">
        <is>
          <t>育富一</t>
        </is>
      </c>
      <c r="C1680" t="n">
        <v>118.6</v>
      </c>
      <c r="D1680" t="n">
        <v>95</v>
      </c>
    </row>
    <row r="1681">
      <c r="A1681" t="n">
        <v>61952</v>
      </c>
      <c r="B1681" t="inlineStr">
        <is>
          <t>詩肯二</t>
        </is>
      </c>
      <c r="C1681" t="n">
        <v>155</v>
      </c>
      <c r="D1681" t="n">
        <v>100</v>
      </c>
    </row>
    <row r="1682">
      <c r="A1682" t="n">
        <v>61961</v>
      </c>
      <c r="B1682" t="inlineStr">
        <is>
          <t>帆宣一</t>
        </is>
      </c>
      <c r="C1682" t="n">
        <v>133.5</v>
      </c>
      <c r="D1682" t="n">
        <v>99</v>
      </c>
    </row>
    <row r="1683">
      <c r="A1683" t="n">
        <v>61962</v>
      </c>
      <c r="B1683" t="inlineStr">
        <is>
          <t>帆宣二</t>
        </is>
      </c>
      <c r="C1683" t="n">
        <v>118</v>
      </c>
      <c r="D1683" t="n">
        <v>93</v>
      </c>
    </row>
    <row r="1684">
      <c r="A1684" t="n">
        <v>61963</v>
      </c>
      <c r="B1684" t="inlineStr">
        <is>
          <t>帆宣三</t>
        </is>
      </c>
      <c r="C1684" t="n">
        <v>300</v>
      </c>
      <c r="D1684" t="n">
        <v>104</v>
      </c>
    </row>
    <row r="1685">
      <c r="A1685" t="n">
        <v>61964</v>
      </c>
      <c r="B1685" t="inlineStr">
        <is>
          <t>帆宣四</t>
        </is>
      </c>
      <c r="C1685" t="n">
        <v>174</v>
      </c>
      <c r="D1685" t="n">
        <v>108</v>
      </c>
    </row>
    <row r="1686">
      <c r="A1686" t="n">
        <v>61965</v>
      </c>
      <c r="B1686" t="inlineStr">
        <is>
          <t>帆宣五</t>
        </is>
      </c>
      <c r="C1686" t="n">
        <v>250</v>
      </c>
      <c r="D1686" t="n">
        <v>106.1</v>
      </c>
    </row>
    <row r="1687">
      <c r="A1687" t="n">
        <v>61971</v>
      </c>
      <c r="B1687" t="inlineStr">
        <is>
          <t>佳必琪一</t>
        </is>
      </c>
      <c r="C1687" t="n">
        <v>371</v>
      </c>
      <c r="D1687" t="n">
        <v>100</v>
      </c>
    </row>
    <row r="1688">
      <c r="A1688" t="n">
        <v>61972</v>
      </c>
      <c r="B1688" t="inlineStr">
        <is>
          <t>佳必琪二</t>
        </is>
      </c>
      <c r="C1688" t="n">
        <v>108.95</v>
      </c>
      <c r="D1688" t="n">
        <v>95.55</v>
      </c>
    </row>
    <row r="1689">
      <c r="A1689" t="n">
        <v>61973</v>
      </c>
      <c r="B1689" t="inlineStr">
        <is>
          <t>佳必琪三</t>
        </is>
      </c>
      <c r="C1689" t="n">
        <v>193</v>
      </c>
      <c r="D1689" t="n">
        <v>101.75</v>
      </c>
      <c r="E1689" t="inlineStr">
        <is>
          <t>H</t>
        </is>
      </c>
      <c r="F1689" s="208" t="n">
        <v>0.2901069518716578</v>
      </c>
    </row>
    <row r="1690">
      <c r="A1690" t="n">
        <v>61981</v>
      </c>
      <c r="B1690" t="inlineStr">
        <is>
          <t>凌泰一</t>
        </is>
      </c>
      <c r="C1690" t="n">
        <v>195</v>
      </c>
      <c r="D1690" t="n">
        <v>93.2</v>
      </c>
    </row>
    <row r="1691">
      <c r="A1691" t="n">
        <v>61991</v>
      </c>
      <c r="B1691" t="inlineStr">
        <is>
          <t>精威一</t>
        </is>
      </c>
      <c r="C1691" t="n">
        <v>162</v>
      </c>
      <c r="D1691" t="n">
        <v>98.8</v>
      </c>
    </row>
    <row r="1692">
      <c r="A1692" t="n">
        <v>61992</v>
      </c>
      <c r="B1692" t="inlineStr">
        <is>
          <t>精威二</t>
        </is>
      </c>
      <c r="C1692" t="n">
        <v>141.8</v>
      </c>
      <c r="D1692" t="n">
        <v>90.5</v>
      </c>
    </row>
    <row r="1693">
      <c r="A1693" t="n">
        <v>61993</v>
      </c>
      <c r="B1693" t="inlineStr">
        <is>
          <t>天品三</t>
        </is>
      </c>
      <c r="C1693" t="n">
        <v>130.15</v>
      </c>
      <c r="D1693" t="n">
        <v>111.7</v>
      </c>
      <c r="F1693" s="208" t="inlineStr"/>
    </row>
    <row r="1694">
      <c r="A1694" t="n">
        <v>61994</v>
      </c>
      <c r="B1694" t="inlineStr">
        <is>
          <t>天品四</t>
        </is>
      </c>
      <c r="C1694" t="n">
        <v>109.75</v>
      </c>
      <c r="D1694" t="n">
        <v>90.2</v>
      </c>
      <c r="F1694" s="208" t="inlineStr"/>
    </row>
    <row r="1695">
      <c r="A1695" t="n">
        <v>62031</v>
      </c>
      <c r="B1695" t="inlineStr">
        <is>
          <t>海韻電一</t>
        </is>
      </c>
      <c r="C1695" t="n">
        <v>137</v>
      </c>
      <c r="D1695" t="n">
        <v>93.09999999999999</v>
      </c>
    </row>
    <row r="1696">
      <c r="A1696" t="n">
        <v>62051</v>
      </c>
      <c r="B1696" t="inlineStr">
        <is>
          <t>詮欣一</t>
        </is>
      </c>
      <c r="C1696" t="n">
        <v>140.25</v>
      </c>
      <c r="D1696" t="n">
        <v>99</v>
      </c>
    </row>
    <row r="1697">
      <c r="A1697" t="n">
        <v>62052</v>
      </c>
      <c r="B1697" t="inlineStr">
        <is>
          <t>詮欣二</t>
        </is>
      </c>
      <c r="C1697" t="n">
        <v>126</v>
      </c>
      <c r="D1697" t="n">
        <v>92</v>
      </c>
    </row>
    <row r="1698">
      <c r="A1698" t="n">
        <v>62053</v>
      </c>
      <c r="B1698" t="inlineStr">
        <is>
          <t>詮欣三</t>
        </is>
      </c>
      <c r="C1698" t="n">
        <v>287</v>
      </c>
      <c r="D1698" t="n">
        <v>107.5</v>
      </c>
    </row>
    <row r="1699">
      <c r="A1699" t="n">
        <v>62061</v>
      </c>
      <c r="B1699" t="inlineStr">
        <is>
          <t>飛捷一</t>
        </is>
      </c>
      <c r="C1699" t="n">
        <v>121</v>
      </c>
      <c r="D1699" t="n">
        <v>101.1</v>
      </c>
    </row>
    <row r="1700">
      <c r="A1700" t="n">
        <v>62062</v>
      </c>
      <c r="B1700" t="inlineStr">
        <is>
          <t>飛捷二</t>
        </is>
      </c>
      <c r="C1700" t="n">
        <v>282</v>
      </c>
      <c r="D1700" t="n">
        <v>99.65000000000001</v>
      </c>
    </row>
    <row r="1701">
      <c r="A1701" t="n">
        <v>62071</v>
      </c>
      <c r="B1701" t="inlineStr">
        <is>
          <t>雷科一</t>
        </is>
      </c>
      <c r="C1701" t="n">
        <v>192</v>
      </c>
      <c r="D1701" t="n">
        <v>115.15</v>
      </c>
    </row>
    <row r="1702">
      <c r="A1702" t="n">
        <v>62072</v>
      </c>
      <c r="B1702" t="inlineStr">
        <is>
          <t>雷科二</t>
        </is>
      </c>
      <c r="C1702" t="n">
        <v>125</v>
      </c>
      <c r="D1702" t="n">
        <v>95</v>
      </c>
    </row>
    <row r="1703">
      <c r="A1703" t="n">
        <v>62073</v>
      </c>
      <c r="B1703" t="inlineStr">
        <is>
          <t>雷科三</t>
        </is>
      </c>
      <c r="C1703" t="n">
        <v>126</v>
      </c>
      <c r="D1703" t="n">
        <v>94</v>
      </c>
    </row>
    <row r="1704">
      <c r="A1704" t="n">
        <v>62074</v>
      </c>
      <c r="B1704" t="inlineStr">
        <is>
          <t>雷科四</t>
        </is>
      </c>
      <c r="C1704" t="n">
        <v>109.95</v>
      </c>
      <c r="D1704" t="n">
        <v>99</v>
      </c>
    </row>
    <row r="1705">
      <c r="A1705" t="n">
        <v>62075</v>
      </c>
      <c r="B1705" t="inlineStr">
        <is>
          <t>雷科五</t>
        </is>
      </c>
      <c r="C1705" t="n">
        <v>223</v>
      </c>
      <c r="D1705" t="n">
        <v>106</v>
      </c>
      <c r="E1705" t="inlineStr">
        <is>
          <t>H</t>
        </is>
      </c>
      <c r="F1705" s="208" t="n">
        <v>0.7022900763358778</v>
      </c>
    </row>
    <row r="1706">
      <c r="A1706" t="n">
        <v>62076</v>
      </c>
      <c r="B1706" t="inlineStr">
        <is>
          <t>雷科六</t>
        </is>
      </c>
      <c r="C1706" t="n">
        <v>228</v>
      </c>
      <c r="D1706" t="n">
        <v>106.65</v>
      </c>
      <c r="E1706" t="inlineStr">
        <is>
          <t>H</t>
        </is>
      </c>
      <c r="F1706" s="208" t="n">
        <v>0.714930424971794</v>
      </c>
    </row>
    <row r="1707">
      <c r="A1707" t="n">
        <v>62081</v>
      </c>
      <c r="B1707" t="inlineStr">
        <is>
          <t>日揚一</t>
        </is>
      </c>
      <c r="C1707" t="n">
        <v>192</v>
      </c>
      <c r="D1707" t="n">
        <v>138</v>
      </c>
    </row>
    <row r="1708">
      <c r="A1708" t="n">
        <v>62082</v>
      </c>
      <c r="B1708" t="inlineStr">
        <is>
          <t>日揚二</t>
        </is>
      </c>
      <c r="C1708" t="n">
        <v>130</v>
      </c>
      <c r="D1708" t="n">
        <v>100</v>
      </c>
    </row>
    <row r="1709">
      <c r="A1709" t="n">
        <v>62083</v>
      </c>
      <c r="B1709" t="inlineStr">
        <is>
          <t>日揚三</t>
        </is>
      </c>
      <c r="C1709" t="n">
        <v>178</v>
      </c>
      <c r="D1709" t="n">
        <v>103</v>
      </c>
    </row>
    <row r="1710">
      <c r="A1710" t="n">
        <v>62091</v>
      </c>
      <c r="B1710" t="inlineStr">
        <is>
          <t>今國光一</t>
        </is>
      </c>
      <c r="C1710" t="n">
        <v>207</v>
      </c>
      <c r="D1710" t="n">
        <v>107</v>
      </c>
    </row>
    <row r="1711">
      <c r="A1711" t="n">
        <v>62092</v>
      </c>
      <c r="B1711" t="inlineStr">
        <is>
          <t>今國光二</t>
        </is>
      </c>
      <c r="C1711" t="n">
        <v>129</v>
      </c>
      <c r="D1711" t="n">
        <v>99.75</v>
      </c>
    </row>
    <row r="1712">
      <c r="A1712" t="n">
        <v>62093</v>
      </c>
      <c r="B1712" t="inlineStr">
        <is>
          <t>今國光三</t>
        </is>
      </c>
      <c r="C1712" t="n">
        <v>224</v>
      </c>
      <c r="D1712" t="n">
        <v>118</v>
      </c>
      <c r="E1712" t="inlineStr">
        <is>
          <t>H</t>
        </is>
      </c>
      <c r="F1712" s="208" t="n">
        <v>0.08737864077669903</v>
      </c>
    </row>
    <row r="1713">
      <c r="A1713" t="n">
        <v>62131</v>
      </c>
      <c r="B1713" t="inlineStr">
        <is>
          <t>聯茂一</t>
        </is>
      </c>
      <c r="C1713" t="n">
        <v>268</v>
      </c>
      <c r="D1713" t="n">
        <v>121</v>
      </c>
    </row>
    <row r="1714">
      <c r="A1714" t="n">
        <v>62132</v>
      </c>
      <c r="B1714" t="inlineStr">
        <is>
          <t>聯茂二</t>
        </is>
      </c>
      <c r="C1714" t="n">
        <v>171</v>
      </c>
      <c r="D1714" t="n">
        <v>99</v>
      </c>
    </row>
    <row r="1715">
      <c r="A1715" t="n">
        <v>62133</v>
      </c>
      <c r="B1715" t="inlineStr">
        <is>
          <t>聯茂三</t>
        </is>
      </c>
      <c r="C1715" t="n">
        <v>182</v>
      </c>
      <c r="D1715" t="n">
        <v>100.5</v>
      </c>
    </row>
    <row r="1716">
      <c r="A1716" t="n">
        <v>62134</v>
      </c>
      <c r="B1716" t="inlineStr">
        <is>
          <t>聯茂四</t>
        </is>
      </c>
      <c r="C1716" t="n">
        <v>197</v>
      </c>
      <c r="D1716" t="n">
        <v>107</v>
      </c>
    </row>
    <row r="1717">
      <c r="A1717" t="n">
        <v>62135</v>
      </c>
      <c r="B1717" t="inlineStr">
        <is>
          <t>聯茂五</t>
        </is>
      </c>
      <c r="C1717" t="n">
        <v>231</v>
      </c>
      <c r="D1717" t="n">
        <v>104</v>
      </c>
    </row>
    <row r="1718">
      <c r="A1718" t="n">
        <v>62151</v>
      </c>
      <c r="B1718" t="inlineStr">
        <is>
          <t>和椿一</t>
        </is>
      </c>
      <c r="C1718" t="n">
        <v>465</v>
      </c>
      <c r="D1718" t="n">
        <v>101</v>
      </c>
    </row>
    <row r="1719">
      <c r="A1719" t="n">
        <v>62152</v>
      </c>
      <c r="B1719" t="inlineStr">
        <is>
          <t>和椿二</t>
        </is>
      </c>
      <c r="C1719" t="n">
        <v>114.45</v>
      </c>
      <c r="D1719" t="n">
        <v>100</v>
      </c>
    </row>
    <row r="1720">
      <c r="A1720" t="n">
        <v>62161</v>
      </c>
      <c r="B1720" t="inlineStr">
        <is>
          <t>居易一</t>
        </is>
      </c>
      <c r="C1720" t="n">
        <v>375</v>
      </c>
      <c r="D1720" t="n">
        <v>222</v>
      </c>
    </row>
    <row r="1721">
      <c r="A1721" t="n">
        <v>62171</v>
      </c>
      <c r="B1721" t="inlineStr">
        <is>
          <t>中探針一</t>
        </is>
      </c>
      <c r="C1721" t="n">
        <v>250</v>
      </c>
      <c r="D1721" t="n">
        <v>107</v>
      </c>
    </row>
    <row r="1722">
      <c r="A1722" t="n">
        <v>62172</v>
      </c>
      <c r="B1722" t="inlineStr">
        <is>
          <t>中探針二</t>
        </is>
      </c>
      <c r="C1722" t="n">
        <v>123</v>
      </c>
      <c r="D1722" t="n">
        <v>99.5</v>
      </c>
    </row>
    <row r="1723">
      <c r="A1723" t="n">
        <v>62173</v>
      </c>
      <c r="B1723" t="inlineStr">
        <is>
          <t>中探針三</t>
        </is>
      </c>
      <c r="C1723" t="n">
        <v>150</v>
      </c>
      <c r="D1723" t="n">
        <v>100.2</v>
      </c>
    </row>
    <row r="1724">
      <c r="A1724" t="n">
        <v>62174</v>
      </c>
      <c r="B1724" t="inlineStr">
        <is>
          <t>中探針四</t>
        </is>
      </c>
      <c r="C1724" t="n">
        <v>173</v>
      </c>
      <c r="D1724" t="n">
        <v>106</v>
      </c>
    </row>
    <row r="1725">
      <c r="A1725" t="n">
        <v>62191</v>
      </c>
      <c r="B1725" t="inlineStr">
        <is>
          <t>富旺一</t>
        </is>
      </c>
      <c r="C1725" t="n">
        <v>121</v>
      </c>
      <c r="D1725" t="n">
        <v>99.25</v>
      </c>
    </row>
    <row r="1726">
      <c r="A1726" t="n">
        <v>62192</v>
      </c>
      <c r="B1726" t="inlineStr">
        <is>
          <t>富旺二</t>
        </is>
      </c>
      <c r="C1726" t="n">
        <v>120.4</v>
      </c>
      <c r="D1726" t="n">
        <v>99.5</v>
      </c>
    </row>
    <row r="1727">
      <c r="A1727" t="n">
        <v>62193</v>
      </c>
      <c r="B1727" t="inlineStr">
        <is>
          <t>富旺三</t>
        </is>
      </c>
      <c r="C1727" t="n">
        <v>103</v>
      </c>
      <c r="D1727" t="n">
        <v>92.25</v>
      </c>
    </row>
    <row r="1728">
      <c r="A1728" t="n">
        <v>62194</v>
      </c>
      <c r="B1728" t="inlineStr">
        <is>
          <t>富旺四</t>
        </is>
      </c>
      <c r="C1728" t="n">
        <v>118.45</v>
      </c>
      <c r="D1728" t="n">
        <v>102.5</v>
      </c>
      <c r="E1728" t="inlineStr">
        <is>
          <t>L</t>
        </is>
      </c>
      <c r="F1728" s="208" t="n">
        <v>-0.006301502666020414</v>
      </c>
    </row>
    <row r="1729">
      <c r="A1729" t="n">
        <v>62201</v>
      </c>
      <c r="B1729" t="inlineStr">
        <is>
          <t>岳豐一</t>
        </is>
      </c>
      <c r="C1729" t="n">
        <v>205</v>
      </c>
      <c r="D1729" t="n">
        <v>100</v>
      </c>
    </row>
    <row r="1730">
      <c r="A1730" t="n">
        <v>62202</v>
      </c>
      <c r="B1730" t="inlineStr">
        <is>
          <t>岳豐二</t>
        </is>
      </c>
      <c r="C1730" t="n">
        <v>113</v>
      </c>
      <c r="D1730" t="n">
        <v>77</v>
      </c>
    </row>
    <row r="1731">
      <c r="A1731" t="n">
        <v>62203</v>
      </c>
      <c r="B1731" t="inlineStr">
        <is>
          <t>岳豐三</t>
        </is>
      </c>
      <c r="C1731" t="n">
        <v>152</v>
      </c>
      <c r="D1731" t="n">
        <v>99</v>
      </c>
    </row>
    <row r="1732">
      <c r="A1732" t="n">
        <v>62204</v>
      </c>
      <c r="B1732" t="inlineStr">
        <is>
          <t>岳豐四</t>
        </is>
      </c>
      <c r="C1732" t="n">
        <v>160</v>
      </c>
      <c r="D1732" t="n">
        <v>100.6</v>
      </c>
    </row>
    <row r="1733">
      <c r="A1733" t="n">
        <v>62205</v>
      </c>
      <c r="B1733" t="inlineStr">
        <is>
          <t>岳豐五</t>
        </is>
      </c>
      <c r="C1733" t="n">
        <v>121.1</v>
      </c>
      <c r="D1733" t="n">
        <v>92</v>
      </c>
    </row>
    <row r="1734">
      <c r="A1734" t="n">
        <v>62206</v>
      </c>
      <c r="B1734" t="inlineStr">
        <is>
          <t>岳豐六</t>
        </is>
      </c>
      <c r="C1734" t="n">
        <v>155</v>
      </c>
      <c r="D1734" t="n">
        <v>102.5</v>
      </c>
    </row>
    <row r="1735">
      <c r="A1735" t="n">
        <v>62207</v>
      </c>
      <c r="B1735" t="inlineStr">
        <is>
          <t>岳豐七</t>
        </is>
      </c>
      <c r="C1735" t="n">
        <v>329</v>
      </c>
      <c r="D1735" t="n">
        <v>94.8</v>
      </c>
    </row>
    <row r="1736">
      <c r="A1736" t="n">
        <v>62208</v>
      </c>
      <c r="B1736" t="inlineStr">
        <is>
          <t>岳豐八</t>
        </is>
      </c>
      <c r="C1736" t="n">
        <v>121</v>
      </c>
      <c r="D1736" t="n">
        <v>88.3</v>
      </c>
    </row>
    <row r="1737">
      <c r="A1737" t="n">
        <v>62209</v>
      </c>
      <c r="B1737" t="inlineStr">
        <is>
          <t>岳豐九</t>
        </is>
      </c>
      <c r="C1737" t="n">
        <v>146.95</v>
      </c>
      <c r="D1737" t="n">
        <v>80</v>
      </c>
    </row>
    <row r="1738">
      <c r="A1738" t="n">
        <v>62211</v>
      </c>
      <c r="B1738" t="inlineStr">
        <is>
          <t>晉泰一</t>
        </is>
      </c>
      <c r="C1738" t="n">
        <v>108</v>
      </c>
      <c r="D1738" t="n">
        <v>84</v>
      </c>
    </row>
    <row r="1739">
      <c r="A1739" t="n">
        <v>62221</v>
      </c>
      <c r="B1739" t="inlineStr">
        <is>
          <t>上揚一</t>
        </is>
      </c>
      <c r="C1739" t="n">
        <v>165</v>
      </c>
      <c r="D1739" t="n">
        <v>85.5</v>
      </c>
    </row>
    <row r="1740">
      <c r="A1740" t="n">
        <v>62231</v>
      </c>
      <c r="B1740" t="inlineStr">
        <is>
          <t>旺矽一</t>
        </is>
      </c>
      <c r="C1740" t="n">
        <v>199</v>
      </c>
      <c r="D1740" t="n">
        <v>107</v>
      </c>
    </row>
    <row r="1741">
      <c r="A1741" t="n">
        <v>62232</v>
      </c>
      <c r="B1741" t="inlineStr">
        <is>
          <t>旺矽二</t>
        </is>
      </c>
      <c r="C1741" t="n">
        <v>190</v>
      </c>
      <c r="D1741" t="n">
        <v>90</v>
      </c>
    </row>
    <row r="1742">
      <c r="A1742" t="n">
        <v>62233</v>
      </c>
      <c r="B1742" t="inlineStr">
        <is>
          <t>旺矽三</t>
        </is>
      </c>
      <c r="C1742" t="n">
        <v>133.2</v>
      </c>
      <c r="D1742" t="n">
        <v>97</v>
      </c>
    </row>
    <row r="1743">
      <c r="A1743" t="n">
        <v>62234</v>
      </c>
      <c r="B1743" t="inlineStr">
        <is>
          <t>旺矽四</t>
        </is>
      </c>
      <c r="C1743" t="n">
        <v>258</v>
      </c>
      <c r="D1743" t="n">
        <v>93.5</v>
      </c>
    </row>
    <row r="1744">
      <c r="A1744" t="n">
        <v>62235</v>
      </c>
      <c r="B1744" t="inlineStr">
        <is>
          <t>旺矽五</t>
        </is>
      </c>
      <c r="C1744" t="n">
        <v>264</v>
      </c>
      <c r="D1744" t="n">
        <v>96.5</v>
      </c>
    </row>
    <row r="1745">
      <c r="A1745" t="n">
        <v>62241</v>
      </c>
      <c r="B1745" t="inlineStr">
        <is>
          <t>聚鼎一</t>
        </is>
      </c>
      <c r="C1745" t="n">
        <v>184</v>
      </c>
      <c r="D1745" t="n">
        <v>99.2</v>
      </c>
    </row>
    <row r="1746">
      <c r="A1746" t="n">
        <v>62251</v>
      </c>
      <c r="B1746" t="inlineStr">
        <is>
          <t>天瀚一</t>
        </is>
      </c>
      <c r="C1746" t="n">
        <v>185</v>
      </c>
      <c r="D1746" t="n">
        <v>84</v>
      </c>
    </row>
    <row r="1747">
      <c r="A1747" t="n">
        <v>62261</v>
      </c>
      <c r="B1747" t="inlineStr">
        <is>
          <t>光鼎一</t>
        </is>
      </c>
      <c r="C1747" t="n">
        <v>217</v>
      </c>
      <c r="D1747" t="n">
        <v>100</v>
      </c>
    </row>
    <row r="1748">
      <c r="A1748" t="n">
        <v>62262</v>
      </c>
      <c r="B1748" t="inlineStr">
        <is>
          <t>光鼎二</t>
        </is>
      </c>
      <c r="C1748" t="n">
        <v>169</v>
      </c>
      <c r="D1748" t="n">
        <v>107</v>
      </c>
    </row>
    <row r="1749">
      <c r="A1749" t="n">
        <v>62263</v>
      </c>
      <c r="B1749" t="inlineStr">
        <is>
          <t>光鼎三</t>
        </is>
      </c>
      <c r="C1749" t="n">
        <v>120</v>
      </c>
      <c r="D1749" t="n">
        <v>100.8</v>
      </c>
    </row>
    <row r="1750">
      <c r="A1750" t="n">
        <v>62264</v>
      </c>
      <c r="B1750" t="inlineStr">
        <is>
          <t>光鼎四</t>
        </is>
      </c>
      <c r="C1750" t="n">
        <v>127.8</v>
      </c>
      <c r="D1750" t="n">
        <v>100.7</v>
      </c>
    </row>
    <row r="1751">
      <c r="A1751" t="n">
        <v>62271</v>
      </c>
      <c r="B1751" t="inlineStr">
        <is>
          <t>茂綸一</t>
        </is>
      </c>
      <c r="C1751" t="n">
        <v>114</v>
      </c>
      <c r="D1751" t="n">
        <v>86.09999999999999</v>
      </c>
    </row>
    <row r="1752">
      <c r="A1752" t="n">
        <v>62281</v>
      </c>
      <c r="B1752" t="inlineStr">
        <is>
          <t>全譜一</t>
        </is>
      </c>
      <c r="C1752" t="n">
        <v>142.05</v>
      </c>
      <c r="D1752" t="n">
        <v>65.5</v>
      </c>
    </row>
    <row r="1753">
      <c r="A1753" t="n">
        <v>62301</v>
      </c>
      <c r="B1753" t="inlineStr">
        <is>
          <t>超眾一</t>
        </is>
      </c>
      <c r="C1753" t="n">
        <v>184</v>
      </c>
      <c r="D1753" t="n">
        <v>114.45</v>
      </c>
    </row>
    <row r="1754">
      <c r="A1754" t="n">
        <v>62321</v>
      </c>
      <c r="B1754" t="inlineStr">
        <is>
          <t>仕欽一</t>
        </is>
      </c>
      <c r="C1754" t="n">
        <v>189</v>
      </c>
      <c r="D1754" t="n">
        <v>55.8</v>
      </c>
    </row>
    <row r="1755">
      <c r="A1755" t="n">
        <v>62331</v>
      </c>
      <c r="B1755" t="inlineStr">
        <is>
          <t>旺玖一</t>
        </is>
      </c>
      <c r="C1755" t="n">
        <v>282</v>
      </c>
      <c r="D1755" t="n">
        <v>114.45</v>
      </c>
    </row>
    <row r="1756">
      <c r="A1756" t="n">
        <v>62332</v>
      </c>
      <c r="B1756" t="inlineStr">
        <is>
          <t>旺玖二</t>
        </is>
      </c>
      <c r="C1756" t="n">
        <v>268</v>
      </c>
      <c r="D1756" t="n">
        <v>107</v>
      </c>
    </row>
    <row r="1757">
      <c r="A1757" t="n">
        <v>62341</v>
      </c>
      <c r="B1757" t="inlineStr">
        <is>
          <t>高僑一</t>
        </is>
      </c>
      <c r="C1757" t="n">
        <v>510</v>
      </c>
      <c r="D1757" t="n">
        <v>139</v>
      </c>
    </row>
    <row r="1758">
      <c r="A1758" t="n">
        <v>62342</v>
      </c>
      <c r="B1758" t="inlineStr">
        <is>
          <t>高僑二</t>
        </is>
      </c>
      <c r="C1758" t="n">
        <v>128</v>
      </c>
      <c r="D1758" t="n">
        <v>100</v>
      </c>
    </row>
    <row r="1759">
      <c r="A1759" t="n">
        <v>62371</v>
      </c>
      <c r="B1759" t="inlineStr">
        <is>
          <t>驊訊一</t>
        </is>
      </c>
      <c r="C1759" t="n">
        <v>119</v>
      </c>
      <c r="D1759" t="n">
        <v>88</v>
      </c>
    </row>
    <row r="1760">
      <c r="A1760" t="n">
        <v>62381</v>
      </c>
      <c r="B1760" t="inlineStr">
        <is>
          <t>巨圖一</t>
        </is>
      </c>
      <c r="C1760" t="n">
        <v>121</v>
      </c>
      <c r="D1760" t="n">
        <v>99.8</v>
      </c>
    </row>
    <row r="1761">
      <c r="A1761" t="n">
        <v>62382</v>
      </c>
      <c r="B1761" t="inlineStr">
        <is>
          <t>勝麗二</t>
        </is>
      </c>
      <c r="C1761" t="n">
        <v>508</v>
      </c>
      <c r="D1761" t="n">
        <v>108</v>
      </c>
    </row>
    <row r="1762">
      <c r="A1762" t="n">
        <v>62383</v>
      </c>
      <c r="B1762" t="inlineStr">
        <is>
          <t>勝麗三</t>
        </is>
      </c>
      <c r="C1762" t="n">
        <v>625</v>
      </c>
      <c r="D1762" t="n">
        <v>107.1</v>
      </c>
    </row>
    <row r="1763">
      <c r="A1763" t="n">
        <v>62384</v>
      </c>
      <c r="B1763" t="inlineStr">
        <is>
          <t>勝麗四</t>
        </is>
      </c>
      <c r="C1763" t="n">
        <v>583</v>
      </c>
      <c r="D1763" t="n">
        <v>98</v>
      </c>
    </row>
    <row r="1764">
      <c r="A1764" t="n">
        <v>62421</v>
      </c>
      <c r="B1764" t="inlineStr">
        <is>
          <t>聯豪一</t>
        </is>
      </c>
      <c r="C1764" t="n">
        <v>190</v>
      </c>
      <c r="D1764" t="n">
        <v>100</v>
      </c>
    </row>
    <row r="1765">
      <c r="A1765" t="n">
        <v>62431</v>
      </c>
      <c r="B1765" t="inlineStr">
        <is>
          <t>迅杰一</t>
        </is>
      </c>
      <c r="C1765" t="n">
        <v>222</v>
      </c>
      <c r="D1765" t="n">
        <v>92</v>
      </c>
    </row>
    <row r="1766">
      <c r="A1766" t="n">
        <v>62432</v>
      </c>
      <c r="B1766" t="inlineStr">
        <is>
          <t>迅杰二</t>
        </is>
      </c>
      <c r="C1766" t="n">
        <v>439</v>
      </c>
      <c r="D1766" t="n">
        <v>107</v>
      </c>
    </row>
    <row r="1767">
      <c r="A1767" t="n">
        <v>62433</v>
      </c>
      <c r="B1767" t="inlineStr">
        <is>
          <t>迅杰三</t>
        </is>
      </c>
      <c r="C1767" t="n">
        <v>112.9</v>
      </c>
      <c r="D1767" t="n">
        <v>90</v>
      </c>
    </row>
    <row r="1768">
      <c r="A1768" t="n">
        <v>62441</v>
      </c>
      <c r="B1768" t="inlineStr">
        <is>
          <t>茂迪一</t>
        </is>
      </c>
      <c r="C1768" t="n">
        <v>2750</v>
      </c>
      <c r="D1768" t="n">
        <v>107</v>
      </c>
    </row>
    <row r="1769">
      <c r="A1769" t="n">
        <v>62451</v>
      </c>
      <c r="B1769" t="inlineStr">
        <is>
          <t>立端一</t>
        </is>
      </c>
      <c r="C1769" t="n">
        <v>191</v>
      </c>
      <c r="D1769" t="n">
        <v>100</v>
      </c>
    </row>
    <row r="1770">
      <c r="A1770" t="n">
        <v>62452</v>
      </c>
      <c r="B1770" t="inlineStr">
        <is>
          <t>立端二</t>
        </is>
      </c>
      <c r="C1770" t="n">
        <v>132</v>
      </c>
      <c r="D1770" t="n">
        <v>99</v>
      </c>
    </row>
    <row r="1771">
      <c r="A1771" t="n">
        <v>62481</v>
      </c>
      <c r="B1771" t="inlineStr">
        <is>
          <t>沛波一</t>
        </is>
      </c>
      <c r="C1771" t="n">
        <v>128.5</v>
      </c>
      <c r="D1771" t="n">
        <v>83</v>
      </c>
    </row>
    <row r="1772">
      <c r="A1772" t="n">
        <v>62482</v>
      </c>
      <c r="B1772" t="inlineStr">
        <is>
          <t>沛波二</t>
        </is>
      </c>
      <c r="C1772" t="n">
        <v>125</v>
      </c>
      <c r="D1772" t="n">
        <v>101.1</v>
      </c>
    </row>
    <row r="1773">
      <c r="A1773" t="n">
        <v>62483</v>
      </c>
      <c r="B1773" t="inlineStr">
        <is>
          <t>沛波三</t>
        </is>
      </c>
      <c r="C1773" t="n">
        <v>117</v>
      </c>
      <c r="D1773" t="n">
        <v>94</v>
      </c>
    </row>
    <row r="1774">
      <c r="A1774" t="n">
        <v>62484</v>
      </c>
      <c r="B1774" t="inlineStr">
        <is>
          <t>沛波四</t>
        </is>
      </c>
      <c r="C1774" t="n">
        <v>158</v>
      </c>
      <c r="D1774" t="n">
        <v>96.59999999999999</v>
      </c>
    </row>
    <row r="1775">
      <c r="A1775" t="n">
        <v>62511</v>
      </c>
      <c r="B1775" t="inlineStr">
        <is>
          <t>定穎一</t>
        </is>
      </c>
      <c r="C1775" t="n">
        <v>107</v>
      </c>
      <c r="D1775" t="n">
        <v>80.5</v>
      </c>
    </row>
    <row r="1776">
      <c r="A1776" t="n">
        <v>62512</v>
      </c>
      <c r="B1776" t="inlineStr">
        <is>
          <t>定穎二</t>
        </is>
      </c>
      <c r="C1776" t="n">
        <v>125.45</v>
      </c>
      <c r="D1776" t="n">
        <v>100</v>
      </c>
    </row>
    <row r="1777">
      <c r="A1777" t="n">
        <v>62551</v>
      </c>
      <c r="B1777" t="inlineStr">
        <is>
          <t>奈普一</t>
        </is>
      </c>
      <c r="C1777" t="n">
        <v>111</v>
      </c>
      <c r="D1777" t="n">
        <v>83</v>
      </c>
    </row>
    <row r="1778">
      <c r="A1778" t="n">
        <v>62571</v>
      </c>
      <c r="B1778" t="inlineStr">
        <is>
          <t>矽格一</t>
        </is>
      </c>
      <c r="C1778" t="n">
        <v>153</v>
      </c>
      <c r="D1778" t="n">
        <v>102</v>
      </c>
    </row>
    <row r="1779">
      <c r="A1779" t="n">
        <v>62572</v>
      </c>
      <c r="B1779" t="inlineStr">
        <is>
          <t>矽格二</t>
        </is>
      </c>
      <c r="C1779" t="n">
        <v>166</v>
      </c>
      <c r="D1779" t="n">
        <v>101.65</v>
      </c>
    </row>
    <row r="1780">
      <c r="A1780" t="n">
        <v>62573</v>
      </c>
      <c r="B1780" t="inlineStr">
        <is>
          <t>矽格三</t>
        </is>
      </c>
      <c r="C1780" t="n">
        <v>205</v>
      </c>
      <c r="D1780" t="n">
        <v>103</v>
      </c>
    </row>
    <row r="1781">
      <c r="A1781" t="n">
        <v>62574</v>
      </c>
      <c r="B1781" t="inlineStr">
        <is>
          <t>矽格四</t>
        </is>
      </c>
      <c r="C1781" t="n">
        <v>151</v>
      </c>
      <c r="D1781" t="n">
        <v>102</v>
      </c>
    </row>
    <row r="1782">
      <c r="A1782" t="n">
        <v>62591</v>
      </c>
      <c r="B1782" t="inlineStr">
        <is>
          <t>百徽一</t>
        </is>
      </c>
      <c r="C1782" t="n">
        <v>116.7</v>
      </c>
      <c r="D1782" t="n">
        <v>94</v>
      </c>
    </row>
    <row r="1783">
      <c r="A1783" t="n">
        <v>62592</v>
      </c>
      <c r="B1783" t="inlineStr">
        <is>
          <t>百徽二</t>
        </is>
      </c>
      <c r="C1783" t="n">
        <v>293</v>
      </c>
      <c r="D1783" t="n">
        <v>100.2</v>
      </c>
    </row>
    <row r="1784">
      <c r="A1784" t="n">
        <v>62611</v>
      </c>
      <c r="B1784" t="inlineStr">
        <is>
          <t>久元一</t>
        </is>
      </c>
      <c r="C1784" t="n">
        <v>181</v>
      </c>
      <c r="D1784" t="n">
        <v>87</v>
      </c>
    </row>
    <row r="1785">
      <c r="A1785" t="n">
        <v>62612</v>
      </c>
      <c r="B1785" t="inlineStr">
        <is>
          <t>久元二</t>
        </is>
      </c>
      <c r="C1785" t="n">
        <v>163</v>
      </c>
      <c r="D1785" t="n">
        <v>101.65</v>
      </c>
    </row>
    <row r="1786">
      <c r="A1786" t="n">
        <v>62613</v>
      </c>
      <c r="B1786" t="inlineStr">
        <is>
          <t>久元三</t>
        </is>
      </c>
      <c r="C1786" t="n">
        <v>127.4</v>
      </c>
      <c r="D1786" t="n">
        <v>98.15000000000001</v>
      </c>
    </row>
    <row r="1787">
      <c r="A1787" t="n">
        <v>62641</v>
      </c>
      <c r="B1787" t="inlineStr">
        <is>
          <t>富裔一</t>
        </is>
      </c>
      <c r="C1787" t="n">
        <v>113.9</v>
      </c>
      <c r="D1787" t="n">
        <v>99.55</v>
      </c>
    </row>
    <row r="1788">
      <c r="A1788" t="n">
        <v>62651</v>
      </c>
      <c r="B1788" t="inlineStr">
        <is>
          <t>方昶一</t>
        </is>
      </c>
      <c r="C1788" t="n">
        <v>201</v>
      </c>
      <c r="D1788" t="n">
        <v>97.5</v>
      </c>
    </row>
    <row r="1789">
      <c r="A1789" t="n">
        <v>62652</v>
      </c>
      <c r="B1789" t="inlineStr">
        <is>
          <t xml:space="preserve">方昶二    </t>
        </is>
      </c>
      <c r="C1789" t="n">
        <v>150</v>
      </c>
      <c r="D1789" t="n">
        <v>95.3</v>
      </c>
    </row>
    <row r="1790">
      <c r="A1790" t="n">
        <v>62661</v>
      </c>
      <c r="B1790" t="inlineStr">
        <is>
          <t>泰詠一</t>
        </is>
      </c>
      <c r="C1790" t="n">
        <v>172</v>
      </c>
      <c r="D1790" t="n">
        <v>100</v>
      </c>
    </row>
    <row r="1791">
      <c r="A1791" t="n">
        <v>62662</v>
      </c>
      <c r="B1791" t="inlineStr">
        <is>
          <t>泰詠二</t>
        </is>
      </c>
      <c r="C1791" t="n">
        <v>126.1</v>
      </c>
      <c r="D1791" t="n">
        <v>93.05</v>
      </c>
    </row>
    <row r="1792">
      <c r="A1792" t="n">
        <v>62691</v>
      </c>
      <c r="B1792" t="inlineStr">
        <is>
          <t>台郡一</t>
        </is>
      </c>
      <c r="C1792" t="n">
        <v>141</v>
      </c>
      <c r="D1792" t="n">
        <v>98</v>
      </c>
    </row>
    <row r="1793">
      <c r="A1793" t="n">
        <v>62692</v>
      </c>
      <c r="B1793" t="inlineStr">
        <is>
          <t>台郡二</t>
        </is>
      </c>
      <c r="C1793" t="n">
        <v>276</v>
      </c>
      <c r="D1793" t="n">
        <v>107</v>
      </c>
    </row>
    <row r="1794">
      <c r="A1794" t="n">
        <v>62693</v>
      </c>
      <c r="B1794" t="inlineStr">
        <is>
          <t>台郡三</t>
        </is>
      </c>
      <c r="C1794" t="n">
        <v>230</v>
      </c>
      <c r="D1794" t="n">
        <v>100</v>
      </c>
    </row>
    <row r="1795">
      <c r="A1795" t="n">
        <v>62694</v>
      </c>
      <c r="B1795" t="inlineStr">
        <is>
          <t>台郡四</t>
        </is>
      </c>
      <c r="C1795" t="n">
        <v>203</v>
      </c>
      <c r="D1795" t="n">
        <v>104.5</v>
      </c>
    </row>
    <row r="1796">
      <c r="A1796" t="n">
        <v>62695</v>
      </c>
      <c r="B1796" t="inlineStr">
        <is>
          <t>台郡五</t>
        </is>
      </c>
      <c r="C1796" t="n">
        <v>114.85</v>
      </c>
      <c r="D1796" t="n">
        <v>92.5</v>
      </c>
    </row>
    <row r="1797">
      <c r="A1797" t="n">
        <v>62696</v>
      </c>
      <c r="B1797" t="inlineStr">
        <is>
          <t>台郡六</t>
        </is>
      </c>
      <c r="C1797" t="n">
        <v>111.75</v>
      </c>
      <c r="D1797" t="n">
        <v>95</v>
      </c>
    </row>
    <row r="1798">
      <c r="A1798" t="n">
        <v>62701</v>
      </c>
      <c r="B1798" t="inlineStr">
        <is>
          <t>倍微一</t>
        </is>
      </c>
      <c r="C1798" t="n">
        <v>150</v>
      </c>
      <c r="D1798" t="n">
        <v>99</v>
      </c>
    </row>
    <row r="1799">
      <c r="A1799" t="n">
        <v>62711</v>
      </c>
      <c r="B1799" t="inlineStr">
        <is>
          <t>同欣電一</t>
        </is>
      </c>
      <c r="C1799" t="n">
        <v>111.95</v>
      </c>
      <c r="D1799" t="n">
        <v>97.25</v>
      </c>
    </row>
    <row r="1800">
      <c r="A1800" t="n">
        <v>62741</v>
      </c>
      <c r="B1800" t="inlineStr">
        <is>
          <t>台燿一</t>
        </is>
      </c>
      <c r="C1800" t="n">
        <v>159</v>
      </c>
      <c r="D1800" t="n">
        <v>94</v>
      </c>
    </row>
    <row r="1801">
      <c r="A1801" t="n">
        <v>62742</v>
      </c>
      <c r="B1801" t="inlineStr">
        <is>
          <t>台燿二</t>
        </is>
      </c>
      <c r="C1801" t="n">
        <v>164</v>
      </c>
      <c r="D1801" t="n">
        <v>103.2</v>
      </c>
    </row>
    <row r="1802">
      <c r="A1802" t="n">
        <v>62743</v>
      </c>
      <c r="B1802" t="inlineStr">
        <is>
          <t>台燿三</t>
        </is>
      </c>
      <c r="C1802" t="n">
        <v>153</v>
      </c>
      <c r="D1802" t="n">
        <v>98.05</v>
      </c>
    </row>
    <row r="1803">
      <c r="A1803" t="n">
        <v>62744</v>
      </c>
      <c r="B1803" t="inlineStr">
        <is>
          <t>台燿四</t>
        </is>
      </c>
      <c r="C1803" t="n">
        <v>225</v>
      </c>
      <c r="D1803" t="n">
        <v>101.55</v>
      </c>
    </row>
    <row r="1804">
      <c r="A1804" t="n">
        <v>62745</v>
      </c>
      <c r="B1804" t="inlineStr">
        <is>
          <t>台燿五</t>
        </is>
      </c>
      <c r="C1804" t="n">
        <v>450</v>
      </c>
      <c r="D1804" t="n">
        <v>118.8</v>
      </c>
      <c r="E1804" t="inlineStr">
        <is>
          <t>H</t>
        </is>
      </c>
      <c r="F1804" s="208" t="n">
        <v>0.6245487364620939</v>
      </c>
    </row>
    <row r="1805">
      <c r="A1805" t="n">
        <v>62751</v>
      </c>
      <c r="B1805" t="inlineStr">
        <is>
          <t>元山一</t>
        </is>
      </c>
      <c r="C1805" t="n">
        <v>285</v>
      </c>
      <c r="D1805" t="n">
        <v>99</v>
      </c>
    </row>
    <row r="1806">
      <c r="A1806" t="n">
        <v>62752</v>
      </c>
      <c r="B1806" t="inlineStr">
        <is>
          <t>元山二</t>
        </is>
      </c>
      <c r="C1806" t="n">
        <v>128</v>
      </c>
      <c r="D1806" t="n">
        <v>100.6</v>
      </c>
    </row>
    <row r="1807">
      <c r="A1807" t="n">
        <v>62753</v>
      </c>
      <c r="B1807" t="inlineStr">
        <is>
          <t>元山三</t>
        </is>
      </c>
      <c r="C1807" t="n">
        <v>122</v>
      </c>
      <c r="D1807" t="n">
        <v>84</v>
      </c>
    </row>
    <row r="1808">
      <c r="A1808" t="n">
        <v>62754</v>
      </c>
      <c r="B1808" t="inlineStr">
        <is>
          <t>元山四</t>
        </is>
      </c>
      <c r="C1808" t="n">
        <v>141.7</v>
      </c>
      <c r="D1808" t="n">
        <v>102</v>
      </c>
    </row>
    <row r="1809">
      <c r="A1809" t="n">
        <v>62755</v>
      </c>
      <c r="B1809" t="inlineStr">
        <is>
          <t>元山五</t>
        </is>
      </c>
      <c r="C1809" t="n">
        <v>184</v>
      </c>
      <c r="D1809" t="n">
        <v>107.25</v>
      </c>
    </row>
    <row r="1810">
      <c r="A1810" t="n">
        <v>62756</v>
      </c>
      <c r="B1810" t="inlineStr">
        <is>
          <t>元山六</t>
        </is>
      </c>
      <c r="C1810" t="n">
        <v>269</v>
      </c>
      <c r="D1810" t="n">
        <v>102.5</v>
      </c>
    </row>
    <row r="1811">
      <c r="A1811" t="n">
        <v>62761</v>
      </c>
      <c r="B1811" t="inlineStr">
        <is>
          <t>名鐘一</t>
        </is>
      </c>
      <c r="C1811" t="n">
        <v>162</v>
      </c>
      <c r="D1811" t="n">
        <v>50</v>
      </c>
    </row>
    <row r="1812">
      <c r="A1812" t="n">
        <v>62791</v>
      </c>
      <c r="B1812" t="inlineStr">
        <is>
          <t>胡連一</t>
        </is>
      </c>
      <c r="C1812" t="n">
        <v>146</v>
      </c>
      <c r="D1812" t="n">
        <v>99.59999999999999</v>
      </c>
    </row>
    <row r="1813">
      <c r="A1813" t="n">
        <v>62821</v>
      </c>
      <c r="B1813" t="inlineStr">
        <is>
          <t>康舒一</t>
        </is>
      </c>
      <c r="C1813" t="n">
        <v>164</v>
      </c>
      <c r="D1813" t="n">
        <v>96.55</v>
      </c>
    </row>
    <row r="1814">
      <c r="A1814" t="n">
        <v>62822</v>
      </c>
      <c r="B1814" t="inlineStr">
        <is>
          <t>康舒二</t>
        </is>
      </c>
      <c r="C1814" t="n">
        <v>143</v>
      </c>
      <c r="D1814" t="n">
        <v>95.5</v>
      </c>
    </row>
    <row r="1815">
      <c r="A1815" t="n">
        <v>62831</v>
      </c>
      <c r="B1815" t="inlineStr">
        <is>
          <t>淳安一</t>
        </is>
      </c>
      <c r="C1815" t="n">
        <v>122</v>
      </c>
      <c r="D1815" t="n">
        <v>88</v>
      </c>
    </row>
    <row r="1816">
      <c r="A1816" t="n">
        <v>62832</v>
      </c>
      <c r="B1816" t="inlineStr">
        <is>
          <t>淳安二</t>
        </is>
      </c>
      <c r="C1816" t="n">
        <v>121.5</v>
      </c>
      <c r="D1816" t="n">
        <v>99.8</v>
      </c>
    </row>
    <row r="1817">
      <c r="A1817" t="n">
        <v>62841</v>
      </c>
      <c r="B1817" t="inlineStr">
        <is>
          <t>佳邦一</t>
        </is>
      </c>
      <c r="C1817" t="n">
        <v>130</v>
      </c>
      <c r="D1817" t="n">
        <v>100</v>
      </c>
    </row>
    <row r="1818">
      <c r="A1818" t="n">
        <v>62842</v>
      </c>
      <c r="B1818" t="inlineStr">
        <is>
          <t>佳邦二</t>
        </is>
      </c>
      <c r="C1818" t="n">
        <v>184</v>
      </c>
      <c r="D1818" t="n">
        <v>100.2</v>
      </c>
    </row>
    <row r="1819">
      <c r="A1819" t="n">
        <v>62843</v>
      </c>
      <c r="B1819" t="inlineStr">
        <is>
          <t>佳邦三</t>
        </is>
      </c>
      <c r="C1819" t="n">
        <v>156</v>
      </c>
      <c r="D1819" t="n">
        <v>100.05</v>
      </c>
      <c r="E1819" t="inlineStr">
        <is>
          <t>H</t>
        </is>
      </c>
      <c r="F1819" s="208" t="n">
        <v>0.1685393258426966</v>
      </c>
    </row>
    <row r="1820">
      <c r="A1820" t="n">
        <v>62851</v>
      </c>
      <c r="B1820" t="inlineStr">
        <is>
          <t>啟碁一</t>
        </is>
      </c>
      <c r="C1820" t="n">
        <v>103</v>
      </c>
      <c r="D1820" t="n">
        <v>93.65000000000001</v>
      </c>
    </row>
    <row r="1821">
      <c r="A1821" t="n">
        <v>62852</v>
      </c>
      <c r="B1821" t="inlineStr">
        <is>
          <t>啟碁二</t>
        </is>
      </c>
      <c r="C1821" t="n">
        <v>127.6</v>
      </c>
      <c r="D1821" t="n">
        <v>101</v>
      </c>
    </row>
    <row r="1822">
      <c r="A1822" t="n">
        <v>62853</v>
      </c>
      <c r="B1822" t="inlineStr">
        <is>
          <t>啟碁三</t>
        </is>
      </c>
      <c r="C1822" t="n">
        <v>251</v>
      </c>
      <c r="D1822" t="n">
        <v>100.3</v>
      </c>
    </row>
    <row r="1823">
      <c r="A1823" t="n">
        <v>62871</v>
      </c>
      <c r="B1823" t="inlineStr">
        <is>
          <t>元隆一</t>
        </is>
      </c>
      <c r="C1823" t="n">
        <v>171</v>
      </c>
      <c r="D1823" t="n">
        <v>81.45</v>
      </c>
    </row>
    <row r="1824">
      <c r="A1824" t="n">
        <v>62872</v>
      </c>
      <c r="B1824" t="inlineStr">
        <is>
          <t>元隆二</t>
        </is>
      </c>
      <c r="C1824" t="n">
        <v>111.1</v>
      </c>
      <c r="D1824" t="n">
        <v>100.45</v>
      </c>
    </row>
    <row r="1825">
      <c r="A1825" t="n">
        <v>62873</v>
      </c>
      <c r="B1825" t="inlineStr">
        <is>
          <t>元隆三</t>
        </is>
      </c>
      <c r="C1825" t="n">
        <v>110</v>
      </c>
      <c r="D1825" t="n">
        <v>101.5</v>
      </c>
    </row>
    <row r="1826">
      <c r="A1826" t="n">
        <v>62874</v>
      </c>
      <c r="B1826" t="inlineStr">
        <is>
          <t>元隆四</t>
        </is>
      </c>
      <c r="C1826" t="n">
        <v>118</v>
      </c>
      <c r="D1826" t="n">
        <v>99.5</v>
      </c>
    </row>
    <row r="1827">
      <c r="A1827" t="n">
        <v>62875</v>
      </c>
      <c r="B1827" t="inlineStr">
        <is>
          <t>元隆五</t>
        </is>
      </c>
      <c r="C1827" t="n">
        <v>105.4</v>
      </c>
      <c r="D1827" t="n">
        <v>97</v>
      </c>
    </row>
    <row r="1828">
      <c r="A1828" t="n">
        <v>62881</v>
      </c>
      <c r="B1828" t="inlineStr">
        <is>
          <t>聯嘉一</t>
        </is>
      </c>
      <c r="C1828" t="n">
        <v>146</v>
      </c>
      <c r="D1828" t="n">
        <v>99.59999999999999</v>
      </c>
    </row>
    <row r="1829">
      <c r="A1829" t="n">
        <v>62882</v>
      </c>
      <c r="B1829" t="inlineStr">
        <is>
          <t>聯嘉二</t>
        </is>
      </c>
      <c r="C1829" t="n">
        <v>114.3</v>
      </c>
      <c r="D1829" t="n">
        <v>97.05</v>
      </c>
    </row>
    <row r="1830">
      <c r="A1830" t="n">
        <v>62883</v>
      </c>
      <c r="B1830" t="inlineStr">
        <is>
          <t>聯嘉三</t>
        </is>
      </c>
      <c r="C1830" t="n">
        <v>167</v>
      </c>
      <c r="D1830" t="n">
        <v>100</v>
      </c>
    </row>
    <row r="1831">
      <c r="A1831" t="n">
        <v>62884</v>
      </c>
      <c r="B1831" t="inlineStr">
        <is>
          <t>聯嘉四</t>
        </is>
      </c>
      <c r="C1831" t="n">
        <v>118.5</v>
      </c>
      <c r="D1831" t="n">
        <v>99.8</v>
      </c>
    </row>
    <row r="1832">
      <c r="A1832" t="n">
        <v>62891</v>
      </c>
      <c r="B1832" t="inlineStr">
        <is>
          <t>華上一</t>
        </is>
      </c>
      <c r="C1832" t="n">
        <v>197</v>
      </c>
      <c r="D1832" t="n">
        <v>91</v>
      </c>
    </row>
    <row r="1833">
      <c r="A1833" t="n">
        <v>62892</v>
      </c>
      <c r="B1833" t="inlineStr">
        <is>
          <t>華上二</t>
        </is>
      </c>
      <c r="C1833" t="n">
        <v>147.9</v>
      </c>
      <c r="D1833" t="n">
        <v>19.8</v>
      </c>
    </row>
    <row r="1834">
      <c r="A1834" t="n">
        <v>62901</v>
      </c>
      <c r="B1834" t="inlineStr">
        <is>
          <t>良維一</t>
        </is>
      </c>
      <c r="C1834" t="n">
        <v>165</v>
      </c>
      <c r="D1834" t="n">
        <v>106</v>
      </c>
    </row>
    <row r="1835">
      <c r="A1835" t="n">
        <v>62902</v>
      </c>
      <c r="B1835" t="inlineStr">
        <is>
          <t>良維二</t>
        </is>
      </c>
      <c r="C1835" t="n">
        <v>166</v>
      </c>
      <c r="D1835" t="n">
        <v>105</v>
      </c>
    </row>
    <row r="1836">
      <c r="A1836" t="n">
        <v>62903</v>
      </c>
      <c r="B1836" t="inlineStr">
        <is>
          <t>良維三</t>
        </is>
      </c>
      <c r="C1836" t="n">
        <v>255</v>
      </c>
      <c r="D1836" t="n">
        <v>97.7</v>
      </c>
    </row>
    <row r="1837">
      <c r="A1837" t="n">
        <v>62904</v>
      </c>
      <c r="B1837" t="inlineStr">
        <is>
          <t>良維四</t>
        </is>
      </c>
      <c r="C1837" t="n">
        <v>252</v>
      </c>
      <c r="D1837" t="n">
        <v>71</v>
      </c>
    </row>
    <row r="1838">
      <c r="A1838" t="n">
        <v>62905</v>
      </c>
      <c r="B1838" t="inlineStr">
        <is>
          <t>良維五</t>
        </is>
      </c>
      <c r="C1838" t="n">
        <v>154</v>
      </c>
      <c r="D1838" t="n">
        <v>102</v>
      </c>
    </row>
    <row r="1839">
      <c r="A1839" t="n">
        <v>62906</v>
      </c>
      <c r="B1839" t="inlineStr">
        <is>
          <t>良維六</t>
        </is>
      </c>
      <c r="C1839" t="n">
        <v>164</v>
      </c>
      <c r="D1839" t="n">
        <v>93.5</v>
      </c>
    </row>
    <row r="1840">
      <c r="A1840" t="n">
        <v>62907</v>
      </c>
      <c r="B1840" t="inlineStr">
        <is>
          <t>良維七</t>
        </is>
      </c>
      <c r="C1840" t="n">
        <v>285</v>
      </c>
      <c r="D1840" t="n">
        <v>109.1</v>
      </c>
    </row>
    <row r="1841">
      <c r="A1841" t="n">
        <v>62908</v>
      </c>
      <c r="B1841" t="inlineStr">
        <is>
          <t>良維八</t>
        </is>
      </c>
      <c r="C1841" t="n">
        <v>298</v>
      </c>
      <c r="D1841" t="n">
        <v>107.05</v>
      </c>
    </row>
    <row r="1842">
      <c r="A1842" t="n">
        <v>62909</v>
      </c>
      <c r="B1842" t="inlineStr">
        <is>
          <t>良維九</t>
        </is>
      </c>
      <c r="C1842" t="n">
        <v>208</v>
      </c>
      <c r="D1842" t="n">
        <v>108.2</v>
      </c>
    </row>
    <row r="1843">
      <c r="A1843" t="n">
        <v>64141</v>
      </c>
      <c r="B1843" t="inlineStr">
        <is>
          <t>樺漢一</t>
        </is>
      </c>
      <c r="C1843" t="n">
        <v>191</v>
      </c>
      <c r="D1843" t="n">
        <v>103.6</v>
      </c>
    </row>
    <row r="1844">
      <c r="A1844" t="n">
        <v>64142</v>
      </c>
      <c r="B1844" t="inlineStr">
        <is>
          <t>樺漢二</t>
        </is>
      </c>
      <c r="C1844" t="n">
        <v>129</v>
      </c>
      <c r="D1844" t="n">
        <v>93.5</v>
      </c>
    </row>
    <row r="1845">
      <c r="A1845" t="n">
        <v>64143</v>
      </c>
      <c r="B1845" t="inlineStr">
        <is>
          <t>樺漢三</t>
        </is>
      </c>
      <c r="C1845" t="n">
        <v>150</v>
      </c>
      <c r="D1845" t="n">
        <v>93</v>
      </c>
    </row>
    <row r="1846">
      <c r="A1846" t="n">
        <v>64144</v>
      </c>
      <c r="B1846" t="inlineStr">
        <is>
          <t>樺漢四</t>
        </is>
      </c>
      <c r="C1846" t="n">
        <v>185</v>
      </c>
      <c r="D1846" t="n">
        <v>105.5</v>
      </c>
    </row>
    <row r="1847">
      <c r="A1847" t="n">
        <v>64145</v>
      </c>
      <c r="B1847" t="inlineStr">
        <is>
          <t>樺漢五</t>
        </is>
      </c>
      <c r="C1847" t="n">
        <v>132.5</v>
      </c>
      <c r="D1847" t="n">
        <v>102</v>
      </c>
      <c r="E1847" t="inlineStr">
        <is>
          <t>H</t>
        </is>
      </c>
      <c r="F1847" s="208" t="n">
        <v>0.01923076923076923</v>
      </c>
    </row>
    <row r="1848">
      <c r="A1848" t="n">
        <v>64161</v>
      </c>
      <c r="B1848" t="inlineStr">
        <is>
          <t>瑞祺電通一</t>
        </is>
      </c>
      <c r="C1848" t="n">
        <v>177</v>
      </c>
      <c r="D1848" t="n">
        <v>101.25</v>
      </c>
    </row>
    <row r="1849">
      <c r="A1849" t="n">
        <v>64221</v>
      </c>
      <c r="B1849" t="inlineStr">
        <is>
          <t>君耀一KY</t>
        </is>
      </c>
      <c r="C1849" t="n">
        <v>126.5</v>
      </c>
      <c r="D1849" t="n">
        <v>98.95</v>
      </c>
    </row>
    <row r="1850">
      <c r="A1850" t="n">
        <v>64251</v>
      </c>
      <c r="B1850" t="inlineStr">
        <is>
          <t>易發一</t>
        </is>
      </c>
      <c r="C1850" t="n">
        <v>176</v>
      </c>
      <c r="D1850" t="n">
        <v>108.1</v>
      </c>
      <c r="E1850" t="inlineStr">
        <is>
          <t>H</t>
        </is>
      </c>
      <c r="F1850" s="208" t="n">
        <v>0.08641975308641975</v>
      </c>
    </row>
    <row r="1851">
      <c r="A1851" t="n">
        <v>64261</v>
      </c>
      <c r="B1851" t="inlineStr">
        <is>
          <t>統新一</t>
        </is>
      </c>
      <c r="C1851" t="n">
        <v>115</v>
      </c>
      <c r="D1851" t="n">
        <v>92</v>
      </c>
    </row>
    <row r="1852">
      <c r="A1852" t="n">
        <v>64321</v>
      </c>
      <c r="B1852" t="inlineStr">
        <is>
          <t>今展科一</t>
        </is>
      </c>
      <c r="C1852" t="n">
        <v>170</v>
      </c>
      <c r="D1852" t="n">
        <v>99.65000000000001</v>
      </c>
    </row>
    <row r="1853">
      <c r="A1853" t="n">
        <v>64322</v>
      </c>
      <c r="B1853" t="inlineStr">
        <is>
          <t>今展科二</t>
        </is>
      </c>
      <c r="C1853" t="n">
        <v>200</v>
      </c>
      <c r="D1853" t="n">
        <v>110</v>
      </c>
    </row>
    <row r="1854">
      <c r="A1854" t="n">
        <v>64323</v>
      </c>
      <c r="B1854" t="inlineStr">
        <is>
          <t>今展科三</t>
        </is>
      </c>
      <c r="C1854" t="n">
        <v>136</v>
      </c>
      <c r="D1854" t="n">
        <v>99.84999999999999</v>
      </c>
    </row>
    <row r="1855">
      <c r="A1855" t="n">
        <v>64324</v>
      </c>
      <c r="B1855" t="inlineStr">
        <is>
          <t>今展科四</t>
        </is>
      </c>
      <c r="C1855" t="n">
        <v>217</v>
      </c>
      <c r="D1855" t="n">
        <v>100</v>
      </c>
      <c r="E1855" t="inlineStr">
        <is>
          <t>H</t>
        </is>
      </c>
      <c r="F1855" s="208" t="n">
        <v>0.55</v>
      </c>
    </row>
    <row r="1856">
      <c r="A1856" t="n">
        <v>64381</v>
      </c>
      <c r="B1856" t="inlineStr">
        <is>
          <t>迅得一</t>
        </is>
      </c>
      <c r="C1856" t="n">
        <v>194</v>
      </c>
      <c r="D1856" t="n">
        <v>102</v>
      </c>
    </row>
    <row r="1857">
      <c r="A1857" t="n">
        <v>64382</v>
      </c>
      <c r="B1857" t="inlineStr">
        <is>
          <t>迅得二</t>
        </is>
      </c>
      <c r="C1857" t="n">
        <v>239</v>
      </c>
      <c r="D1857" t="n">
        <v>110.55</v>
      </c>
    </row>
    <row r="1858">
      <c r="A1858" t="n">
        <v>64411</v>
      </c>
      <c r="B1858" t="inlineStr">
        <is>
          <t>廣錠一</t>
        </is>
      </c>
      <c r="C1858" t="n">
        <v>289</v>
      </c>
      <c r="D1858" t="n">
        <v>105.3</v>
      </c>
    </row>
    <row r="1859">
      <c r="A1859" t="n">
        <v>64412</v>
      </c>
      <c r="B1859" t="inlineStr">
        <is>
          <t>廣錠二</t>
        </is>
      </c>
      <c r="C1859" t="n">
        <v>282</v>
      </c>
      <c r="D1859" t="n">
        <v>106.5</v>
      </c>
    </row>
    <row r="1860">
      <c r="A1860" t="n">
        <v>64413</v>
      </c>
      <c r="B1860" t="inlineStr">
        <is>
          <t>廣錠三</t>
        </is>
      </c>
      <c r="C1860" t="n">
        <v>129</v>
      </c>
      <c r="D1860" t="n">
        <v>99.40000000000001</v>
      </c>
    </row>
    <row r="1861">
      <c r="A1861" t="n">
        <v>64414</v>
      </c>
      <c r="B1861" t="inlineStr">
        <is>
          <t>廣錠四</t>
        </is>
      </c>
      <c r="C1861" t="n">
        <v>129</v>
      </c>
      <c r="D1861" t="n">
        <v>99.40000000000001</v>
      </c>
    </row>
    <row r="1862">
      <c r="A1862" t="n">
        <v>64415</v>
      </c>
      <c r="B1862" t="inlineStr">
        <is>
          <t>廣錠五</t>
        </is>
      </c>
      <c r="C1862" t="n">
        <v>125</v>
      </c>
      <c r="D1862" t="n">
        <v>94.5</v>
      </c>
    </row>
    <row r="1863">
      <c r="A1863" t="n">
        <v>64421</v>
      </c>
      <c r="B1863" t="inlineStr">
        <is>
          <t>光聖一</t>
        </is>
      </c>
      <c r="C1863" t="n">
        <v>223</v>
      </c>
      <c r="D1863" t="n">
        <v>97</v>
      </c>
    </row>
    <row r="1864">
      <c r="A1864" t="n">
        <v>64422</v>
      </c>
      <c r="B1864" t="inlineStr">
        <is>
          <t>光聖二</t>
        </is>
      </c>
      <c r="C1864" t="n">
        <v>228</v>
      </c>
      <c r="D1864" t="n">
        <v>110.55</v>
      </c>
    </row>
    <row r="1865">
      <c r="A1865" t="n">
        <v>64423</v>
      </c>
      <c r="B1865" t="inlineStr">
        <is>
          <t>光聖三</t>
        </is>
      </c>
      <c r="C1865" t="n">
        <v>231</v>
      </c>
      <c r="D1865" t="n">
        <v>135</v>
      </c>
    </row>
    <row r="1866">
      <c r="A1866" t="n">
        <v>64491</v>
      </c>
      <c r="B1866" t="inlineStr">
        <is>
          <t>鈺邦一</t>
        </is>
      </c>
      <c r="C1866" t="n">
        <v>223</v>
      </c>
      <c r="D1866" t="n">
        <v>99.84999999999999</v>
      </c>
    </row>
    <row r="1867">
      <c r="A1867" t="n">
        <v>64492</v>
      </c>
      <c r="B1867" t="inlineStr">
        <is>
          <t>鈺邦二</t>
        </is>
      </c>
      <c r="C1867" t="n">
        <v>134</v>
      </c>
      <c r="D1867" t="n">
        <v>96</v>
      </c>
    </row>
    <row r="1868">
      <c r="A1868" t="n">
        <v>64511</v>
      </c>
      <c r="B1868" t="inlineStr">
        <is>
          <t>訊芯一KY</t>
        </is>
      </c>
      <c r="C1868" t="n">
        <v>115</v>
      </c>
      <c r="D1868" t="n">
        <v>94</v>
      </c>
    </row>
    <row r="1869">
      <c r="A1869" t="n">
        <v>64512</v>
      </c>
      <c r="B1869" t="inlineStr">
        <is>
          <t>訊芯二KY</t>
        </is>
      </c>
      <c r="C1869" t="n">
        <v>268</v>
      </c>
      <c r="D1869" t="n">
        <v>86.5</v>
      </c>
      <c r="E1869" t="inlineStr">
        <is>
          <t>H</t>
        </is>
      </c>
      <c r="F1869" s="208" t="n">
        <v>0.2641509433962264</v>
      </c>
    </row>
    <row r="1870">
      <c r="A1870" t="n">
        <v>64651</v>
      </c>
      <c r="B1870" t="inlineStr">
        <is>
          <t>威潤一</t>
        </is>
      </c>
      <c r="C1870" t="n">
        <v>123</v>
      </c>
      <c r="D1870" t="n">
        <v>99.5</v>
      </c>
    </row>
    <row r="1871">
      <c r="A1871" t="n">
        <v>64691</v>
      </c>
      <c r="B1871" t="inlineStr">
        <is>
          <t>大樹一</t>
        </is>
      </c>
      <c r="C1871" t="n">
        <v>237</v>
      </c>
      <c r="D1871" t="n">
        <v>100.05</v>
      </c>
    </row>
    <row r="1872">
      <c r="A1872" t="n">
        <v>64692</v>
      </c>
      <c r="B1872" t="inlineStr">
        <is>
          <t>大樹二</t>
        </is>
      </c>
      <c r="C1872" t="n">
        <v>155</v>
      </c>
      <c r="D1872" t="n">
        <v>99.34999999999999</v>
      </c>
    </row>
    <row r="1873">
      <c r="A1873" t="n">
        <v>64693</v>
      </c>
      <c r="B1873" t="inlineStr">
        <is>
          <t>大樹三</t>
        </is>
      </c>
      <c r="C1873" t="n">
        <v>118.5</v>
      </c>
      <c r="D1873" t="n">
        <v>98.55</v>
      </c>
      <c r="E1873" t="inlineStr">
        <is>
          <t>L</t>
        </is>
      </c>
      <c r="F1873" s="208" t="n">
        <v>-0.009547738693467365</v>
      </c>
    </row>
    <row r="1874">
      <c r="A1874" t="n">
        <v>64721</v>
      </c>
      <c r="B1874" t="inlineStr">
        <is>
          <t>保瑞一</t>
        </is>
      </c>
      <c r="C1874" t="n">
        <v>220</v>
      </c>
      <c r="D1874" t="n">
        <v>100.2</v>
      </c>
    </row>
    <row r="1875">
      <c r="A1875" t="n">
        <v>64722</v>
      </c>
      <c r="B1875" t="inlineStr">
        <is>
          <t>保瑞二</t>
        </is>
      </c>
      <c r="C1875" t="n">
        <v>355</v>
      </c>
      <c r="D1875" t="n">
        <v>104</v>
      </c>
    </row>
    <row r="1876">
      <c r="A1876" t="n">
        <v>64723</v>
      </c>
      <c r="B1876" t="inlineStr">
        <is>
          <t>保瑞三</t>
        </is>
      </c>
      <c r="C1876" t="n">
        <v>161</v>
      </c>
      <c r="D1876" t="n">
        <v>102</v>
      </c>
    </row>
    <row r="1877">
      <c r="A1877" t="n">
        <v>64724</v>
      </c>
      <c r="B1877" t="inlineStr">
        <is>
          <t>保瑞四</t>
        </is>
      </c>
      <c r="C1877" t="n">
        <v>108.75</v>
      </c>
      <c r="D1877" t="n">
        <v>90.8</v>
      </c>
      <c r="E1877" t="inlineStr">
        <is>
          <t>L</t>
        </is>
      </c>
      <c r="F1877" s="208" t="n">
        <v>-0.1119804400977995</v>
      </c>
    </row>
    <row r="1878">
      <c r="A1878" t="n">
        <v>64725</v>
      </c>
      <c r="B1878" t="inlineStr">
        <is>
          <t>保瑞五</t>
        </is>
      </c>
      <c r="C1878" t="n">
        <v>108</v>
      </c>
      <c r="D1878" t="n">
        <v>92</v>
      </c>
      <c r="E1878" t="inlineStr">
        <is>
          <t>HL</t>
        </is>
      </c>
      <c r="F1878" s="208" t="n">
        <v>0.00185528756957331</v>
      </c>
    </row>
    <row r="1879">
      <c r="A1879" t="n">
        <v>64771</v>
      </c>
      <c r="B1879" t="inlineStr">
        <is>
          <t>安集一</t>
        </is>
      </c>
      <c r="C1879" t="n">
        <v>323</v>
      </c>
      <c r="D1879" t="n">
        <v>91</v>
      </c>
    </row>
    <row r="1880">
      <c r="A1880" t="n">
        <v>64772</v>
      </c>
      <c r="B1880" t="inlineStr">
        <is>
          <t>安集二</t>
        </is>
      </c>
      <c r="C1880" t="n">
        <v>176</v>
      </c>
      <c r="D1880" t="n">
        <v>99.75</v>
      </c>
    </row>
    <row r="1881">
      <c r="A1881" t="n">
        <v>64773</v>
      </c>
      <c r="B1881" t="inlineStr">
        <is>
          <t>安集三</t>
        </is>
      </c>
      <c r="C1881" t="n">
        <v>147</v>
      </c>
      <c r="D1881" t="n">
        <v>93.05</v>
      </c>
    </row>
    <row r="1882">
      <c r="A1882" t="n">
        <v>64774</v>
      </c>
      <c r="B1882" t="inlineStr">
        <is>
          <t>安集四</t>
        </is>
      </c>
      <c r="C1882" t="n">
        <v>113</v>
      </c>
      <c r="D1882" t="n">
        <v>92.2</v>
      </c>
      <c r="E1882" t="inlineStr">
        <is>
          <t>L</t>
        </is>
      </c>
      <c r="F1882" s="208" t="n">
        <v>-0.01914893617021273</v>
      </c>
    </row>
    <row r="1883">
      <c r="A1883" t="n">
        <v>64775</v>
      </c>
      <c r="B1883" t="inlineStr">
        <is>
          <t>安集五</t>
        </is>
      </c>
      <c r="C1883" t="n">
        <v>98.7</v>
      </c>
      <c r="D1883" t="n">
        <v>92.05</v>
      </c>
      <c r="F1883" s="208" t="inlineStr"/>
    </row>
    <row r="1884">
      <c r="A1884" t="n">
        <v>64861</v>
      </c>
      <c r="B1884" t="inlineStr">
        <is>
          <t>互動一</t>
        </is>
      </c>
      <c r="C1884" t="n">
        <v>132.2</v>
      </c>
      <c r="D1884" t="n">
        <v>99.55</v>
      </c>
    </row>
    <row r="1885">
      <c r="A1885" t="n">
        <v>64862</v>
      </c>
      <c r="B1885" t="inlineStr">
        <is>
          <t>互動二</t>
        </is>
      </c>
      <c r="C1885" t="n">
        <v>175</v>
      </c>
      <c r="D1885" t="n">
        <v>108.2</v>
      </c>
    </row>
    <row r="1886">
      <c r="A1886" t="n">
        <v>64961</v>
      </c>
      <c r="B1886" t="inlineStr">
        <is>
          <t>科懋一</t>
        </is>
      </c>
      <c r="C1886" t="n">
        <v>114</v>
      </c>
      <c r="D1886" t="n">
        <v>99.7</v>
      </c>
    </row>
    <row r="1887">
      <c r="A1887" t="n">
        <v>65092</v>
      </c>
      <c r="B1887" t="inlineStr">
        <is>
          <t>聚和二</t>
        </is>
      </c>
      <c r="C1887" t="n">
        <v>146</v>
      </c>
      <c r="D1887" t="n">
        <v>101.5</v>
      </c>
    </row>
    <row r="1888">
      <c r="A1888" t="n">
        <v>65093</v>
      </c>
      <c r="B1888" t="inlineStr">
        <is>
          <t>聚和三</t>
        </is>
      </c>
      <c r="C1888" t="n">
        <v>145</v>
      </c>
      <c r="D1888" t="n">
        <v>92.5</v>
      </c>
    </row>
    <row r="1889">
      <c r="A1889" t="n">
        <v>65094</v>
      </c>
      <c r="B1889" t="inlineStr">
        <is>
          <t>聚和四</t>
        </is>
      </c>
      <c r="C1889" t="n">
        <v>119</v>
      </c>
      <c r="D1889" t="n">
        <v>99.90000000000001</v>
      </c>
    </row>
    <row r="1890">
      <c r="A1890" t="n">
        <v>65095</v>
      </c>
      <c r="B1890" t="inlineStr">
        <is>
          <t>聚和五</t>
        </is>
      </c>
      <c r="C1890" t="n">
        <v>145</v>
      </c>
      <c r="D1890" t="n">
        <v>98</v>
      </c>
    </row>
    <row r="1891">
      <c r="A1891" t="n">
        <v>65096</v>
      </c>
      <c r="B1891" t="inlineStr">
        <is>
          <t>聚和六</t>
        </is>
      </c>
      <c r="C1891" t="n">
        <v>140.5</v>
      </c>
      <c r="D1891" t="n">
        <v>99.95</v>
      </c>
      <c r="E1891" t="inlineStr">
        <is>
          <t>H</t>
        </is>
      </c>
      <c r="F1891" s="208" t="n">
        <v>0.05639097744360902</v>
      </c>
    </row>
    <row r="1892">
      <c r="A1892" t="n">
        <v>65101</v>
      </c>
      <c r="B1892" t="inlineStr">
        <is>
          <t>精測一</t>
        </is>
      </c>
      <c r="C1892" t="n">
        <v>217</v>
      </c>
      <c r="D1892" t="n">
        <v>128.5</v>
      </c>
      <c r="F1892" s="208" t="inlineStr"/>
    </row>
    <row r="1893">
      <c r="A1893" t="n">
        <v>65151</v>
      </c>
      <c r="B1893" t="inlineStr">
        <is>
          <t>穎崴一</t>
        </is>
      </c>
      <c r="C1893" t="n">
        <v>165</v>
      </c>
      <c r="D1893" t="n">
        <v>118</v>
      </c>
    </row>
    <row r="1894">
      <c r="A1894" t="n">
        <v>65152</v>
      </c>
      <c r="B1894" t="inlineStr">
        <is>
          <t>穎崴二</t>
        </is>
      </c>
      <c r="C1894" t="n">
        <v>310</v>
      </c>
      <c r="D1894" t="n">
        <v>138</v>
      </c>
      <c r="F1894" s="208" t="inlineStr"/>
    </row>
    <row r="1895">
      <c r="A1895" t="n">
        <v>65321</v>
      </c>
      <c r="B1895" t="inlineStr">
        <is>
          <t>瑞耘一</t>
        </is>
      </c>
      <c r="C1895" t="n">
        <v>200</v>
      </c>
      <c r="D1895" t="n">
        <v>101.95</v>
      </c>
    </row>
    <row r="1896">
      <c r="A1896" t="n">
        <v>65331</v>
      </c>
      <c r="B1896" t="inlineStr">
        <is>
          <t>晶心科一</t>
        </is>
      </c>
      <c r="C1896" t="n">
        <v>113.25</v>
      </c>
      <c r="D1896" t="n">
        <v>85.84999999999999</v>
      </c>
      <c r="F1896" s="208" t="inlineStr"/>
    </row>
    <row r="1897">
      <c r="A1897" t="n">
        <v>65381</v>
      </c>
      <c r="B1897" t="inlineStr">
        <is>
          <t>倉和一</t>
        </is>
      </c>
      <c r="C1897" t="n">
        <v>129</v>
      </c>
      <c r="D1897" t="n">
        <v>87.09999999999999</v>
      </c>
      <c r="E1897" t="inlineStr">
        <is>
          <t>H</t>
        </is>
      </c>
      <c r="F1897" s="208" t="n">
        <v>0.2772277227722773</v>
      </c>
    </row>
    <row r="1898">
      <c r="A1898" t="n">
        <v>65461</v>
      </c>
      <c r="B1898" t="inlineStr">
        <is>
          <t>正基一</t>
        </is>
      </c>
      <c r="C1898" t="n">
        <v>155</v>
      </c>
      <c r="D1898" t="n">
        <v>92.09999999999999</v>
      </c>
    </row>
    <row r="1899">
      <c r="A1899" t="n">
        <v>65471</v>
      </c>
      <c r="B1899" t="inlineStr">
        <is>
          <t>高端疫苗一</t>
        </is>
      </c>
      <c r="C1899" t="n">
        <v>100.45</v>
      </c>
      <c r="D1899" t="n">
        <v>86.75</v>
      </c>
    </row>
    <row r="1900">
      <c r="A1900" t="n">
        <v>65472</v>
      </c>
      <c r="B1900" t="inlineStr">
        <is>
          <t>高端疫苗二</t>
        </is>
      </c>
      <c r="C1900" t="n">
        <v>157</v>
      </c>
      <c r="D1900" t="n">
        <v>115.4</v>
      </c>
    </row>
    <row r="1901">
      <c r="A1901" t="n">
        <v>65481</v>
      </c>
      <c r="B1901" t="inlineStr">
        <is>
          <t>長科一</t>
        </is>
      </c>
      <c r="C1901" t="n">
        <v>148</v>
      </c>
      <c r="D1901" t="n">
        <v>120</v>
      </c>
    </row>
    <row r="1902">
      <c r="A1902" t="n">
        <v>65521</v>
      </c>
      <c r="B1902" t="inlineStr">
        <is>
          <t>易華電一</t>
        </is>
      </c>
      <c r="C1902" t="n">
        <v>123.5</v>
      </c>
      <c r="D1902" t="n">
        <v>98.05</v>
      </c>
    </row>
    <row r="1903">
      <c r="A1903" t="n">
        <v>65581</v>
      </c>
      <c r="B1903" t="inlineStr">
        <is>
          <t>興能高一</t>
        </is>
      </c>
      <c r="C1903" t="n">
        <v>111.8</v>
      </c>
      <c r="D1903" t="n">
        <v>91.5</v>
      </c>
    </row>
    <row r="1904">
      <c r="A1904" t="n">
        <v>65701</v>
      </c>
      <c r="B1904" t="inlineStr">
        <is>
          <t>維田一</t>
        </is>
      </c>
      <c r="C1904" t="n">
        <v>185</v>
      </c>
      <c r="D1904" t="n">
        <v>103.85</v>
      </c>
    </row>
    <row r="1905">
      <c r="A1905" t="n">
        <v>65731</v>
      </c>
      <c r="B1905" t="inlineStr">
        <is>
          <t>虹揚一KY</t>
        </is>
      </c>
      <c r="C1905" t="n">
        <v>105</v>
      </c>
      <c r="D1905" t="n">
        <v>77.5</v>
      </c>
    </row>
    <row r="1906">
      <c r="A1906" t="n">
        <v>65761</v>
      </c>
      <c r="B1906" t="inlineStr">
        <is>
          <t>逸達一</t>
        </is>
      </c>
      <c r="C1906" t="n">
        <v>127.85</v>
      </c>
      <c r="D1906" t="n">
        <v>105</v>
      </c>
      <c r="E1906" t="inlineStr">
        <is>
          <t>H</t>
        </is>
      </c>
      <c r="F1906" s="208" t="n">
        <v>0.03943089430894305</v>
      </c>
    </row>
    <row r="1907">
      <c r="A1907" t="n">
        <v>65781</v>
      </c>
      <c r="B1907" t="inlineStr">
        <is>
          <t>達邦蛋白一</t>
        </is>
      </c>
      <c r="C1907" t="n">
        <v>202</v>
      </c>
      <c r="D1907" t="n">
        <v>102.5</v>
      </c>
    </row>
    <row r="1908">
      <c r="A1908" t="n">
        <v>65791</v>
      </c>
      <c r="B1908" t="inlineStr">
        <is>
          <t>研揚一</t>
        </is>
      </c>
      <c r="C1908" t="n">
        <v>138.1</v>
      </c>
      <c r="D1908" t="n">
        <v>96</v>
      </c>
    </row>
    <row r="1909">
      <c r="A1909" t="n">
        <v>65841</v>
      </c>
      <c r="B1909" t="inlineStr">
        <is>
          <t>南俊國際一</t>
        </is>
      </c>
      <c r="C1909" t="n">
        <v>469</v>
      </c>
      <c r="D1909" t="n">
        <v>101</v>
      </c>
      <c r="F1909" s="208" t="inlineStr"/>
    </row>
    <row r="1910">
      <c r="A1910" t="n">
        <v>65842</v>
      </c>
      <c r="B1910" t="inlineStr">
        <is>
          <t>南俊國際二</t>
        </is>
      </c>
      <c r="C1910" t="n">
        <v>428</v>
      </c>
      <c r="D1910" t="n">
        <v>98</v>
      </c>
      <c r="F1910" s="208" t="inlineStr"/>
    </row>
    <row r="1911">
      <c r="A1911" t="n">
        <v>65851</v>
      </c>
      <c r="B1911" t="inlineStr">
        <is>
          <t>鼎基一</t>
        </is>
      </c>
      <c r="C1911" t="n">
        <v>192</v>
      </c>
      <c r="D1911" t="n">
        <v>100.05</v>
      </c>
    </row>
    <row r="1912">
      <c r="A1912" t="n">
        <v>65852</v>
      </c>
      <c r="B1912" t="inlineStr">
        <is>
          <t>鼎基二</t>
        </is>
      </c>
      <c r="C1912" t="n">
        <v>191</v>
      </c>
      <c r="D1912" t="n">
        <v>100</v>
      </c>
      <c r="E1912" t="inlineStr">
        <is>
          <t>L</t>
        </is>
      </c>
      <c r="F1912" s="208" t="n">
        <v>-0.004975124378109453</v>
      </c>
    </row>
    <row r="1913">
      <c r="A1913" t="n">
        <v>65891</v>
      </c>
      <c r="B1913" t="inlineStr">
        <is>
          <t>台康生技一</t>
        </is>
      </c>
      <c r="C1913" t="n">
        <v>313</v>
      </c>
      <c r="D1913" t="n">
        <v>109.8</v>
      </c>
    </row>
    <row r="1914">
      <c r="A1914" t="n">
        <v>65911</v>
      </c>
      <c r="B1914" t="inlineStr">
        <is>
          <t>動力一KY</t>
        </is>
      </c>
      <c r="C1914" t="n">
        <v>182</v>
      </c>
      <c r="D1914" t="n">
        <v>95.2</v>
      </c>
    </row>
    <row r="1915">
      <c r="A1915" t="n">
        <v>65912</v>
      </c>
      <c r="B1915" t="inlineStr">
        <is>
          <t>動力二KY</t>
        </is>
      </c>
      <c r="C1915" t="n">
        <v>127</v>
      </c>
      <c r="D1915" t="n">
        <v>96.3</v>
      </c>
    </row>
    <row r="1916">
      <c r="A1916" t="n">
        <v>65913</v>
      </c>
      <c r="B1916" t="inlineStr">
        <is>
          <t>動力三KY</t>
        </is>
      </c>
      <c r="C1916" t="n">
        <v>195</v>
      </c>
      <c r="D1916" t="n">
        <v>94.59999999999999</v>
      </c>
    </row>
    <row r="1917">
      <c r="A1917" t="n">
        <v>65914</v>
      </c>
      <c r="B1917" t="inlineStr">
        <is>
          <t>動力四KY</t>
        </is>
      </c>
      <c r="C1917" t="n">
        <v>124</v>
      </c>
      <c r="D1917" t="n">
        <v>94</v>
      </c>
      <c r="E1917" t="inlineStr">
        <is>
          <t>L</t>
        </is>
      </c>
      <c r="F1917" s="208" t="n">
        <v>-0.002123142250530816</v>
      </c>
    </row>
    <row r="1918">
      <c r="A1918" t="n">
        <v>65931</v>
      </c>
      <c r="B1918" t="inlineStr">
        <is>
          <t>台灣銘板一</t>
        </is>
      </c>
      <c r="C1918" t="n">
        <v>496</v>
      </c>
      <c r="D1918" t="n">
        <v>113.5</v>
      </c>
    </row>
    <row r="1919">
      <c r="A1919" t="n">
        <v>66031</v>
      </c>
      <c r="B1919" t="inlineStr">
        <is>
          <t>富鑫一</t>
        </is>
      </c>
      <c r="C1919" t="n">
        <v>113</v>
      </c>
      <c r="D1919" t="n">
        <v>87.2</v>
      </c>
    </row>
    <row r="1920">
      <c r="A1920" t="n">
        <v>66032</v>
      </c>
      <c r="B1920" t="inlineStr">
        <is>
          <t>富強鑫二</t>
        </is>
      </c>
      <c r="C1920" t="n">
        <v>167</v>
      </c>
      <c r="D1920" t="n">
        <v>103.5</v>
      </c>
    </row>
    <row r="1921">
      <c r="A1921" t="n">
        <v>66033</v>
      </c>
      <c r="B1921" t="inlineStr">
        <is>
          <t>富強鑫三</t>
        </is>
      </c>
      <c r="C1921" t="n">
        <v>136.25</v>
      </c>
      <c r="D1921" t="n">
        <v>98.05</v>
      </c>
    </row>
    <row r="1922">
      <c r="A1922" t="n">
        <v>66051</v>
      </c>
      <c r="B1922" t="inlineStr">
        <is>
          <t>帝寶一</t>
        </is>
      </c>
      <c r="C1922" t="n">
        <v>192</v>
      </c>
      <c r="D1922" t="n">
        <v>97</v>
      </c>
    </row>
    <row r="1923">
      <c r="A1923" t="n">
        <v>66131</v>
      </c>
      <c r="B1923" t="inlineStr">
        <is>
          <t>朋億一</t>
        </is>
      </c>
      <c r="C1923" t="n">
        <v>281</v>
      </c>
      <c r="D1923" t="n">
        <v>105.1</v>
      </c>
    </row>
    <row r="1924">
      <c r="A1924" t="n">
        <v>66161</v>
      </c>
      <c r="B1924" t="inlineStr">
        <is>
          <t>特昇一KY</t>
        </is>
      </c>
      <c r="C1924" t="n">
        <v>104</v>
      </c>
      <c r="D1924" t="n">
        <v>85</v>
      </c>
    </row>
    <row r="1925">
      <c r="A1925" t="n">
        <v>66162</v>
      </c>
      <c r="B1925" t="inlineStr">
        <is>
          <t>特昇二KY</t>
        </is>
      </c>
      <c r="C1925" t="n">
        <v>120.5</v>
      </c>
      <c r="D1925" t="n">
        <v>95</v>
      </c>
    </row>
    <row r="1926">
      <c r="A1926" t="n">
        <v>66163</v>
      </c>
      <c r="B1926" t="inlineStr">
        <is>
          <t>特昇三KY</t>
        </is>
      </c>
      <c r="C1926" t="n">
        <v>119.35</v>
      </c>
      <c r="D1926" t="n">
        <v>93.5</v>
      </c>
    </row>
    <row r="1927">
      <c r="A1927" t="n">
        <v>66241</v>
      </c>
      <c r="B1927" t="inlineStr">
        <is>
          <t>萬年清一</t>
        </is>
      </c>
      <c r="C1927" t="n">
        <v>173</v>
      </c>
      <c r="D1927" t="n">
        <v>101.35</v>
      </c>
    </row>
    <row r="1928">
      <c r="A1928" t="n">
        <v>66291</v>
      </c>
      <c r="B1928" t="inlineStr">
        <is>
          <t>泰金一KY</t>
        </is>
      </c>
      <c r="C1928" t="n">
        <v>126</v>
      </c>
      <c r="D1928" t="n">
        <v>97.09999999999999</v>
      </c>
    </row>
    <row r="1929">
      <c r="A1929" t="n">
        <v>66292</v>
      </c>
      <c r="B1929" t="inlineStr">
        <is>
          <t>泰金二KY</t>
        </is>
      </c>
      <c r="C1929" t="n">
        <v>129</v>
      </c>
      <c r="D1929" t="n">
        <v>96</v>
      </c>
    </row>
    <row r="1930">
      <c r="A1930" t="n">
        <v>66411</v>
      </c>
      <c r="B1930" t="inlineStr">
        <is>
          <t>基士德一KY</t>
        </is>
      </c>
      <c r="C1930" t="n">
        <v>109.8</v>
      </c>
      <c r="D1930" t="n">
        <v>93</v>
      </c>
    </row>
    <row r="1931">
      <c r="A1931" t="n">
        <v>66451</v>
      </c>
      <c r="B1931" t="inlineStr">
        <is>
          <t>金萬林一創</t>
        </is>
      </c>
      <c r="C1931" t="n">
        <v>112.6</v>
      </c>
      <c r="D1931" t="n">
        <v>101.4</v>
      </c>
    </row>
    <row r="1932">
      <c r="A1932" t="n">
        <v>66541</v>
      </c>
      <c r="B1932" t="inlineStr">
        <is>
          <t>天正國際一</t>
        </is>
      </c>
      <c r="C1932" t="n">
        <v>122.5</v>
      </c>
      <c r="D1932" t="n">
        <v>98</v>
      </c>
    </row>
    <row r="1933">
      <c r="A1933" t="n">
        <v>66551</v>
      </c>
      <c r="B1933" t="inlineStr">
        <is>
          <t>科定一</t>
        </is>
      </c>
      <c r="C1933" t="n">
        <v>440</v>
      </c>
      <c r="D1933" t="n">
        <v>110.65</v>
      </c>
    </row>
    <row r="1934">
      <c r="A1934" t="n">
        <v>66641</v>
      </c>
      <c r="B1934" t="inlineStr">
        <is>
          <t>群翊一</t>
        </is>
      </c>
      <c r="C1934" t="n">
        <v>403</v>
      </c>
      <c r="D1934" t="n">
        <v>102</v>
      </c>
    </row>
    <row r="1935">
      <c r="A1935" t="n">
        <v>66642</v>
      </c>
      <c r="B1935" t="inlineStr">
        <is>
          <t>群翊二</t>
        </is>
      </c>
      <c r="C1935" t="n">
        <v>168</v>
      </c>
      <c r="D1935" t="n">
        <v>95.55</v>
      </c>
      <c r="E1935" t="inlineStr">
        <is>
          <t>H</t>
        </is>
      </c>
      <c r="F1935" s="208" t="n">
        <v>0.005988023952095809</v>
      </c>
    </row>
    <row r="1936">
      <c r="A1936" t="n">
        <v>66681</v>
      </c>
      <c r="B1936" t="inlineStr">
        <is>
          <t>中揚光一</t>
        </is>
      </c>
      <c r="C1936" t="n">
        <v>125.8</v>
      </c>
      <c r="D1936" t="n">
        <v>99.75</v>
      </c>
    </row>
    <row r="1937">
      <c r="A1937" t="n">
        <v>66682</v>
      </c>
      <c r="B1937" t="inlineStr">
        <is>
          <t>中揚光二</t>
        </is>
      </c>
      <c r="C1937" t="n">
        <v>125</v>
      </c>
      <c r="D1937" t="n">
        <v>97.40000000000001</v>
      </c>
    </row>
    <row r="1938">
      <c r="A1938" t="n">
        <v>66683</v>
      </c>
      <c r="B1938" t="inlineStr">
        <is>
          <t>中揚光三</t>
        </is>
      </c>
      <c r="C1938" t="n">
        <v>131.5</v>
      </c>
      <c r="D1938" t="n">
        <v>93.3</v>
      </c>
    </row>
    <row r="1939">
      <c r="A1939" t="n">
        <v>66701</v>
      </c>
      <c r="B1939" t="inlineStr">
        <is>
          <t>復盛應用一</t>
        </is>
      </c>
      <c r="C1939" t="n">
        <v>217</v>
      </c>
      <c r="D1939" t="n">
        <v>103.2</v>
      </c>
    </row>
    <row r="1940">
      <c r="A1940" t="n">
        <v>66702</v>
      </c>
      <c r="B1940" t="inlineStr">
        <is>
          <t>復盛應用二</t>
        </is>
      </c>
      <c r="C1940" t="n">
        <v>125</v>
      </c>
      <c r="D1940" t="n">
        <v>109</v>
      </c>
      <c r="E1940" t="inlineStr">
        <is>
          <t>H</t>
        </is>
      </c>
      <c r="F1940" s="208" t="n">
        <v>0.03305785123966942</v>
      </c>
    </row>
    <row r="1941">
      <c r="A1941" t="n">
        <v>66721</v>
      </c>
      <c r="B1941" t="inlineStr">
        <is>
          <t>騰輝一KY</t>
        </is>
      </c>
      <c r="C1941" t="n">
        <v>250</v>
      </c>
      <c r="D1941" t="n">
        <v>101</v>
      </c>
      <c r="E1941" t="inlineStr">
        <is>
          <t>H</t>
        </is>
      </c>
      <c r="F1941" s="208" t="n">
        <v>0.02459016393442623</v>
      </c>
    </row>
    <row r="1942">
      <c r="A1942" t="n">
        <v>66722</v>
      </c>
      <c r="B1942" t="inlineStr">
        <is>
          <t>騰輝二KY</t>
        </is>
      </c>
      <c r="C1942" t="n">
        <v>253</v>
      </c>
      <c r="D1942" t="n">
        <v>100</v>
      </c>
      <c r="E1942" t="inlineStr">
        <is>
          <t>H</t>
        </is>
      </c>
      <c r="F1942" s="208" t="n">
        <v>0.02845528455284553</v>
      </c>
    </row>
    <row r="1943">
      <c r="A1943" t="n">
        <v>66801</v>
      </c>
      <c r="B1943" t="inlineStr">
        <is>
          <t>鑫創電子一</t>
        </is>
      </c>
      <c r="C1943" t="n">
        <v>143.9</v>
      </c>
      <c r="D1943" t="n">
        <v>105</v>
      </c>
    </row>
    <row r="1944">
      <c r="A1944" t="n">
        <v>67021</v>
      </c>
      <c r="B1944" t="inlineStr">
        <is>
          <t>興航一</t>
        </is>
      </c>
      <c r="C1944" t="n">
        <v>127.75</v>
      </c>
      <c r="D1944" t="n">
        <v>31.5</v>
      </c>
    </row>
    <row r="1945">
      <c r="A1945" t="n">
        <v>67061</v>
      </c>
      <c r="B1945" t="inlineStr">
        <is>
          <t>惠特一</t>
        </is>
      </c>
      <c r="C1945" t="n">
        <v>158</v>
      </c>
      <c r="D1945" t="n">
        <v>98.40000000000001</v>
      </c>
    </row>
    <row r="1946">
      <c r="A1946" t="n">
        <v>67062</v>
      </c>
      <c r="B1946" t="inlineStr">
        <is>
          <t>惠特二</t>
        </is>
      </c>
      <c r="C1946" t="n">
        <v>130.05</v>
      </c>
      <c r="D1946" t="n">
        <v>88.05</v>
      </c>
      <c r="E1946" t="inlineStr">
        <is>
          <t>H</t>
        </is>
      </c>
      <c r="F1946" s="208" t="n">
        <v>0.1216041397153946</v>
      </c>
    </row>
    <row r="1947">
      <c r="A1947" t="n">
        <v>67151</v>
      </c>
      <c r="B1947" t="inlineStr">
        <is>
          <t>嘉基一</t>
        </is>
      </c>
      <c r="C1947" t="n">
        <v>186</v>
      </c>
      <c r="D1947" t="n">
        <v>106.8</v>
      </c>
    </row>
    <row r="1948">
      <c r="A1948" t="n">
        <v>67152</v>
      </c>
      <c r="B1948" t="inlineStr">
        <is>
          <t>嘉基二</t>
        </is>
      </c>
      <c r="C1948" t="n">
        <v>332</v>
      </c>
      <c r="D1948" t="n">
        <v>97.5</v>
      </c>
      <c r="E1948" t="inlineStr">
        <is>
          <t>H</t>
        </is>
      </c>
      <c r="F1948" s="208" t="n">
        <v>0.1292517006802721</v>
      </c>
    </row>
    <row r="1949">
      <c r="A1949" t="n">
        <v>67271</v>
      </c>
      <c r="B1949" t="inlineStr">
        <is>
          <t>亞泰金屬一</t>
        </is>
      </c>
      <c r="C1949" t="n">
        <v>199</v>
      </c>
      <c r="D1949" t="n">
        <v>112.2</v>
      </c>
    </row>
    <row r="1950">
      <c r="A1950" t="n">
        <v>67531</v>
      </c>
      <c r="B1950" t="inlineStr">
        <is>
          <t>龍德造船一</t>
        </is>
      </c>
      <c r="C1950" t="n">
        <v>180</v>
      </c>
      <c r="D1950" t="n">
        <v>101</v>
      </c>
    </row>
    <row r="1951">
      <c r="A1951" t="n">
        <v>67611</v>
      </c>
      <c r="B1951" t="inlineStr">
        <is>
          <t>穩得一</t>
        </is>
      </c>
      <c r="C1951" t="n">
        <v>140</v>
      </c>
      <c r="D1951" t="n">
        <v>99.95</v>
      </c>
    </row>
    <row r="1952">
      <c r="A1952" t="n">
        <v>67681</v>
      </c>
      <c r="B1952" t="inlineStr">
        <is>
          <t>志強一KY</t>
        </is>
      </c>
      <c r="C1952" t="n">
        <v>172</v>
      </c>
      <c r="D1952" t="n">
        <v>101</v>
      </c>
      <c r="E1952" t="inlineStr">
        <is>
          <t>L</t>
        </is>
      </c>
      <c r="F1952" s="208" t="n">
        <v>-0.0004948045522018521</v>
      </c>
    </row>
    <row r="1953">
      <c r="A1953" t="n">
        <v>67711</v>
      </c>
      <c r="B1953" t="inlineStr">
        <is>
          <t>平和環保一創</t>
        </is>
      </c>
      <c r="C1953" t="n">
        <v>118</v>
      </c>
      <c r="D1953" t="n">
        <v>102.1</v>
      </c>
      <c r="E1953" t="inlineStr">
        <is>
          <t>L</t>
        </is>
      </c>
      <c r="F1953" s="208" t="n">
        <v>-0.01113801452784509</v>
      </c>
    </row>
    <row r="1954">
      <c r="A1954" t="n">
        <v>67961</v>
      </c>
      <c r="B1954" t="inlineStr">
        <is>
          <t>晉弘一</t>
        </is>
      </c>
      <c r="C1954" t="n">
        <v>119.8</v>
      </c>
      <c r="D1954" t="n">
        <v>93</v>
      </c>
    </row>
    <row r="1955">
      <c r="A1955" t="n">
        <v>67962</v>
      </c>
      <c r="B1955" t="inlineStr">
        <is>
          <t>晉弘二</t>
        </is>
      </c>
      <c r="C1955" t="n">
        <v>105.5</v>
      </c>
      <c r="D1955" t="n">
        <v>88.09999999999999</v>
      </c>
      <c r="E1955" t="inlineStr">
        <is>
          <t>L</t>
        </is>
      </c>
      <c r="F1955" s="208" t="n">
        <v>-0.02705687465488683</v>
      </c>
    </row>
    <row r="1956">
      <c r="A1956" t="n">
        <v>68031</v>
      </c>
      <c r="B1956" t="inlineStr">
        <is>
          <t>崑鼎一</t>
        </is>
      </c>
      <c r="C1956" t="n">
        <v>171</v>
      </c>
      <c r="D1956" t="n">
        <v>93</v>
      </c>
    </row>
    <row r="1957">
      <c r="A1957" t="n">
        <v>68041</v>
      </c>
      <c r="B1957" t="inlineStr">
        <is>
          <t>明係一</t>
        </is>
      </c>
      <c r="C1957" t="n">
        <v>111</v>
      </c>
      <c r="D1957" t="n">
        <v>93.75</v>
      </c>
    </row>
    <row r="1958">
      <c r="A1958" t="n">
        <v>68061</v>
      </c>
      <c r="B1958" t="inlineStr">
        <is>
          <t>森崴能源一</t>
        </is>
      </c>
      <c r="C1958" t="n">
        <v>167</v>
      </c>
      <c r="D1958" t="n">
        <v>94</v>
      </c>
      <c r="E1958" t="inlineStr">
        <is>
          <t>L</t>
        </is>
      </c>
      <c r="F1958" s="208" t="n">
        <v>-0.02792140641158224</v>
      </c>
    </row>
    <row r="1959">
      <c r="A1959" t="n">
        <v>68211</v>
      </c>
      <c r="B1959" t="inlineStr">
        <is>
          <t>聯寶一</t>
        </is>
      </c>
      <c r="C1959" t="n">
        <v>178</v>
      </c>
      <c r="D1959" t="n">
        <v>100.55</v>
      </c>
      <c r="E1959" t="inlineStr">
        <is>
          <t>H</t>
        </is>
      </c>
      <c r="F1959" s="208" t="n">
        <v>0.1483870967741935</v>
      </c>
    </row>
    <row r="1960">
      <c r="A1960" t="n">
        <v>68231</v>
      </c>
      <c r="B1960" t="inlineStr">
        <is>
          <t>濾能一</t>
        </is>
      </c>
      <c r="C1960" t="n">
        <v>120</v>
      </c>
      <c r="D1960" t="n">
        <v>98.05</v>
      </c>
    </row>
    <row r="1961">
      <c r="A1961" t="n">
        <v>68301</v>
      </c>
      <c r="B1961" t="inlineStr">
        <is>
          <t>汎銓一</t>
        </is>
      </c>
      <c r="C1961" t="n">
        <v>646</v>
      </c>
      <c r="D1961" t="n">
        <v>99.84999999999999</v>
      </c>
      <c r="E1961" t="inlineStr">
        <is>
          <t>H</t>
        </is>
      </c>
      <c r="F1961" s="208" t="n">
        <v>0.09677419354838709</v>
      </c>
    </row>
    <row r="1962">
      <c r="A1962" t="n">
        <v>68351</v>
      </c>
      <c r="B1962" t="inlineStr">
        <is>
          <t>圓裕一</t>
        </is>
      </c>
      <c r="C1962" t="n">
        <v>113.8</v>
      </c>
      <c r="D1962" t="n">
        <v>94.5</v>
      </c>
    </row>
    <row r="1963">
      <c r="A1963" t="n">
        <v>68401</v>
      </c>
      <c r="B1963" t="inlineStr">
        <is>
          <t>東研信超一</t>
        </is>
      </c>
      <c r="C1963" t="n">
        <v>130.5</v>
      </c>
      <c r="D1963" t="n">
        <v>88.5</v>
      </c>
    </row>
    <row r="1964">
      <c r="A1964" t="n">
        <v>68431</v>
      </c>
      <c r="B1964" t="inlineStr">
        <is>
          <t>進典一</t>
        </is>
      </c>
      <c r="C1964" t="n">
        <v>115</v>
      </c>
      <c r="D1964" t="n">
        <v>100.65</v>
      </c>
    </row>
    <row r="1965">
      <c r="A1965" t="n">
        <v>68461</v>
      </c>
      <c r="B1965" t="inlineStr">
        <is>
          <t>綠茵一</t>
        </is>
      </c>
      <c r="C1965" t="n">
        <v>106.9</v>
      </c>
      <c r="D1965" t="n">
        <v>92.90000000000001</v>
      </c>
    </row>
    <row r="1966">
      <c r="A1966" t="n">
        <v>68462</v>
      </c>
      <c r="B1966" t="inlineStr">
        <is>
          <t>綠茵二</t>
        </is>
      </c>
      <c r="C1966" t="n">
        <v>107.45</v>
      </c>
      <c r="D1966" t="n">
        <v>94</v>
      </c>
    </row>
    <row r="1967">
      <c r="A1967" t="n">
        <v>68541</v>
      </c>
      <c r="B1967" t="inlineStr">
        <is>
          <t>錼創科技-KY創一</t>
        </is>
      </c>
      <c r="C1967" t="n">
        <v>120.5</v>
      </c>
      <c r="D1967" t="n">
        <v>100.05</v>
      </c>
      <c r="F1967" s="208" t="inlineStr"/>
    </row>
    <row r="1968">
      <c r="A1968" t="n">
        <v>68621</v>
      </c>
      <c r="B1968" t="inlineStr">
        <is>
          <t>三集瑞一KY</t>
        </is>
      </c>
      <c r="C1968" t="n">
        <v>129.3</v>
      </c>
      <c r="D1968" t="n">
        <v>103</v>
      </c>
    </row>
    <row r="1969">
      <c r="A1969" t="n">
        <v>68631</v>
      </c>
      <c r="B1969" t="inlineStr">
        <is>
          <t>永道一KY</t>
        </is>
      </c>
      <c r="C1969" t="n">
        <v>117.3</v>
      </c>
      <c r="D1969" t="n">
        <v>89.05</v>
      </c>
    </row>
    <row r="1970">
      <c r="A1970" t="n">
        <v>68691</v>
      </c>
      <c r="B1970" t="inlineStr">
        <is>
          <t>雲豹能源一</t>
        </is>
      </c>
      <c r="C1970" t="n">
        <v>365</v>
      </c>
      <c r="D1970" t="n">
        <v>106.6</v>
      </c>
    </row>
    <row r="1971">
      <c r="A1971" t="n">
        <v>68701</v>
      </c>
      <c r="B1971" t="inlineStr">
        <is>
          <t>騰雲一</t>
        </is>
      </c>
      <c r="C1971" t="n">
        <v>114</v>
      </c>
      <c r="D1971" t="n">
        <v>93</v>
      </c>
      <c r="E1971" t="inlineStr">
        <is>
          <t>H</t>
        </is>
      </c>
      <c r="F1971" s="208" t="n">
        <v>0.002638522427440608</v>
      </c>
    </row>
    <row r="1972">
      <c r="A1972" t="n">
        <v>68702</v>
      </c>
      <c r="B1972" t="inlineStr">
        <is>
          <t>騰雲二</t>
        </is>
      </c>
      <c r="C1972" t="n">
        <v>120</v>
      </c>
      <c r="D1972" t="n">
        <v>94.5</v>
      </c>
      <c r="E1972" t="inlineStr">
        <is>
          <t>H</t>
        </is>
      </c>
      <c r="F1972" s="208" t="n">
        <v>0.01265822784810127</v>
      </c>
    </row>
    <row r="1973">
      <c r="A1973" t="n">
        <v>68731</v>
      </c>
      <c r="B1973" t="inlineStr">
        <is>
          <t>泓德能源一</t>
        </is>
      </c>
      <c r="C1973" t="n">
        <v>262</v>
      </c>
      <c r="D1973" t="n">
        <v>104.1</v>
      </c>
    </row>
    <row r="1974">
      <c r="A1974" t="n">
        <v>68732</v>
      </c>
      <c r="B1974" t="inlineStr">
        <is>
          <t>泓德能源二</t>
        </is>
      </c>
      <c r="C1974" t="n">
        <v>114</v>
      </c>
      <c r="D1974" t="n">
        <v>76.15000000000001</v>
      </c>
      <c r="F1974" s="208" t="inlineStr"/>
    </row>
    <row r="1975">
      <c r="A1975" t="n">
        <v>68741</v>
      </c>
      <c r="B1975" t="inlineStr">
        <is>
          <t>倍力一</t>
        </is>
      </c>
      <c r="C1975" t="n">
        <v>111</v>
      </c>
      <c r="D1975" t="n">
        <v>95.2</v>
      </c>
    </row>
    <row r="1976">
      <c r="A1976" t="n">
        <v>68901</v>
      </c>
      <c r="B1976" t="inlineStr">
        <is>
          <t>來億一KY</t>
        </is>
      </c>
      <c r="C1976" t="n">
        <v>124.55</v>
      </c>
      <c r="D1976" t="n">
        <v>87.09999999999999</v>
      </c>
      <c r="E1976" t="inlineStr">
        <is>
          <t>L</t>
        </is>
      </c>
      <c r="F1976" s="208" t="n">
        <v>-0.06091644204851758</v>
      </c>
    </row>
    <row r="1977">
      <c r="A1977" t="n">
        <v>68902</v>
      </c>
      <c r="B1977" t="inlineStr">
        <is>
          <t>來億二KY</t>
        </is>
      </c>
      <c r="C1977" t="n">
        <v>117.6</v>
      </c>
      <c r="D1977" t="n">
        <v>86</v>
      </c>
      <c r="E1977" t="inlineStr">
        <is>
          <t>L</t>
        </is>
      </c>
      <c r="F1977" s="208" t="n">
        <v>-0.05286343612334799</v>
      </c>
    </row>
    <row r="1978">
      <c r="A1978" t="n">
        <v>68941</v>
      </c>
      <c r="B1978" t="inlineStr">
        <is>
          <t>衛司特一</t>
        </is>
      </c>
      <c r="C1978" t="n">
        <v>181</v>
      </c>
      <c r="D1978" t="n">
        <v>112.2</v>
      </c>
      <c r="F1978" s="208" t="inlineStr"/>
    </row>
    <row r="1979">
      <c r="A1979" t="n">
        <v>69041</v>
      </c>
      <c r="B1979" t="inlineStr">
        <is>
          <t>伯鑫一</t>
        </is>
      </c>
      <c r="C1979" t="n">
        <v>105</v>
      </c>
      <c r="D1979" t="n">
        <v>99.90000000000001</v>
      </c>
    </row>
    <row r="1980">
      <c r="A1980" t="n">
        <v>69131</v>
      </c>
      <c r="B1980" t="inlineStr">
        <is>
          <t>鴻呈一</t>
        </is>
      </c>
      <c r="C1980" t="n">
        <v>148.95</v>
      </c>
      <c r="D1980" t="n">
        <v>111</v>
      </c>
      <c r="E1980" t="inlineStr">
        <is>
          <t>H</t>
        </is>
      </c>
      <c r="F1980" s="208" t="n">
        <v>0.05638297872340418</v>
      </c>
    </row>
    <row r="1981">
      <c r="A1981" t="n">
        <v>69571</v>
      </c>
      <c r="B1981" t="inlineStr">
        <is>
          <t>裕慶一KY</t>
        </is>
      </c>
      <c r="C1981" t="n">
        <v>122.5</v>
      </c>
      <c r="D1981" t="n">
        <v>98.7</v>
      </c>
      <c r="E1981" t="inlineStr">
        <is>
          <t>L</t>
        </is>
      </c>
      <c r="F1981" s="208" t="n">
        <v>-0.01595214356929207</v>
      </c>
    </row>
    <row r="1982">
      <c r="A1982" t="n">
        <v>69821</v>
      </c>
      <c r="B1982" t="inlineStr">
        <is>
          <t>大井泵浦一</t>
        </is>
      </c>
      <c r="C1982" t="n">
        <v>119.5</v>
      </c>
      <c r="D1982" t="n">
        <v>92</v>
      </c>
      <c r="E1982" t="inlineStr">
        <is>
          <t>L</t>
        </is>
      </c>
      <c r="F1982" s="208" t="n">
        <v>-0.02127659574468085</v>
      </c>
    </row>
    <row r="1983">
      <c r="A1983" t="n">
        <v>69822</v>
      </c>
      <c r="B1983" t="inlineStr">
        <is>
          <t>大井泵浦二</t>
        </is>
      </c>
      <c r="C1983" t="n">
        <v>120</v>
      </c>
      <c r="D1983" t="n">
        <v>92.25</v>
      </c>
    </row>
    <row r="1984">
      <c r="A1984" t="n">
        <v>74021</v>
      </c>
      <c r="B1984" t="inlineStr">
        <is>
          <t>邑錡一</t>
        </is>
      </c>
      <c r="C1984" t="n">
        <v>316</v>
      </c>
      <c r="D1984" t="n">
        <v>101.45</v>
      </c>
    </row>
    <row r="1985">
      <c r="A1985" t="n">
        <v>74022</v>
      </c>
      <c r="B1985" t="inlineStr">
        <is>
          <t>邑錡二</t>
        </is>
      </c>
      <c r="C1985" t="n">
        <v>168</v>
      </c>
      <c r="D1985" t="n">
        <v>120.7</v>
      </c>
      <c r="E1985" t="inlineStr">
        <is>
          <t>L</t>
        </is>
      </c>
      <c r="F1985" s="208" t="n">
        <v>-0.002479338842975183</v>
      </c>
    </row>
    <row r="1986">
      <c r="A1986" t="n">
        <v>75561</v>
      </c>
      <c r="B1986" t="inlineStr">
        <is>
          <t>意德士一</t>
        </is>
      </c>
      <c r="C1986" t="n">
        <v>180</v>
      </c>
      <c r="D1986" t="n">
        <v>102</v>
      </c>
      <c r="F1986" s="208" t="inlineStr"/>
    </row>
    <row r="1987">
      <c r="A1987" t="n">
        <v>75562</v>
      </c>
      <c r="B1987" t="inlineStr">
        <is>
          <t>意德士二</t>
        </is>
      </c>
      <c r="C1987" t="n">
        <v>186</v>
      </c>
      <c r="D1987" t="n">
        <v>104.35</v>
      </c>
      <c r="F1987" s="208" t="inlineStr"/>
    </row>
    <row r="1988">
      <c r="A1988" t="n">
        <v>77131</v>
      </c>
      <c r="B1988" t="inlineStr">
        <is>
          <t>威力德一</t>
        </is>
      </c>
      <c r="C1988" t="n">
        <v>107.5</v>
      </c>
      <c r="D1988" t="n">
        <v>100.5</v>
      </c>
    </row>
    <row r="1989">
      <c r="A1989" t="n">
        <v>80111</v>
      </c>
      <c r="B1989" t="inlineStr">
        <is>
          <t>台通一</t>
        </is>
      </c>
      <c r="C1989" t="n">
        <v>178</v>
      </c>
      <c r="D1989" t="n">
        <v>99.2</v>
      </c>
    </row>
    <row r="1990">
      <c r="A1990" t="n">
        <v>80112</v>
      </c>
      <c r="B1990" t="inlineStr">
        <is>
          <t>台通二</t>
        </is>
      </c>
      <c r="C1990" t="n">
        <v>154</v>
      </c>
      <c r="D1990" t="n">
        <v>105.1</v>
      </c>
    </row>
    <row r="1991">
      <c r="A1991" t="n">
        <v>80113</v>
      </c>
      <c r="B1991" t="inlineStr">
        <is>
          <t>台通三</t>
        </is>
      </c>
      <c r="C1991" t="n">
        <v>156</v>
      </c>
      <c r="D1991" t="n">
        <v>105.5</v>
      </c>
    </row>
    <row r="1992">
      <c r="A1992" t="n">
        <v>80114</v>
      </c>
      <c r="B1992" t="inlineStr">
        <is>
          <t>台通四</t>
        </is>
      </c>
      <c r="C1992" t="n">
        <v>178</v>
      </c>
      <c r="D1992" t="n">
        <v>99.65000000000001</v>
      </c>
    </row>
    <row r="1993">
      <c r="A1993" t="n">
        <v>80161</v>
      </c>
      <c r="B1993" t="inlineStr">
        <is>
          <t>矽創一</t>
        </is>
      </c>
      <c r="C1993" t="n">
        <v>190</v>
      </c>
      <c r="D1993" t="n">
        <v>99.5</v>
      </c>
    </row>
    <row r="1994">
      <c r="A1994" t="n">
        <v>80211</v>
      </c>
      <c r="B1994" t="inlineStr">
        <is>
          <t>尖點一</t>
        </is>
      </c>
      <c r="C1994" t="n">
        <v>115</v>
      </c>
      <c r="D1994" t="n">
        <v>108.3</v>
      </c>
    </row>
    <row r="1995">
      <c r="A1995" t="n">
        <v>80212</v>
      </c>
      <c r="B1995" t="inlineStr">
        <is>
          <t>尖點二</t>
        </is>
      </c>
      <c r="C1995" t="n">
        <v>244</v>
      </c>
      <c r="D1995" t="n">
        <v>126</v>
      </c>
      <c r="E1995" t="inlineStr">
        <is>
          <t>H</t>
        </is>
      </c>
      <c r="F1995" s="208" t="n">
        <v>0.02521008403361345</v>
      </c>
    </row>
    <row r="1996">
      <c r="A1996" t="n">
        <v>80271</v>
      </c>
      <c r="B1996" t="inlineStr">
        <is>
          <t>鈦昇一</t>
        </is>
      </c>
      <c r="C1996" t="n">
        <v>259</v>
      </c>
      <c r="D1996" t="n">
        <v>107</v>
      </c>
    </row>
    <row r="1997">
      <c r="A1997" t="n">
        <v>80272</v>
      </c>
      <c r="B1997" t="inlineStr">
        <is>
          <t>鈦昇二</t>
        </is>
      </c>
      <c r="C1997" t="n">
        <v>243</v>
      </c>
      <c r="D1997" t="n">
        <v>103</v>
      </c>
    </row>
    <row r="1998">
      <c r="A1998" t="n">
        <v>80273</v>
      </c>
      <c r="B1998" t="inlineStr">
        <is>
          <t>鈦昇三</t>
        </is>
      </c>
      <c r="C1998" t="n">
        <v>420</v>
      </c>
      <c r="D1998" t="n">
        <v>101</v>
      </c>
      <c r="E1998" t="inlineStr">
        <is>
          <t>H</t>
        </is>
      </c>
      <c r="F1998" s="208" t="n">
        <v>0.5849056603773585</v>
      </c>
    </row>
    <row r="1999">
      <c r="A1999" t="n">
        <v>80281</v>
      </c>
      <c r="B1999" t="inlineStr">
        <is>
          <t>昇陽半導體一</t>
        </is>
      </c>
      <c r="C1999" t="n">
        <v>120.8</v>
      </c>
      <c r="D1999" t="n">
        <v>96.90000000000001</v>
      </c>
    </row>
    <row r="2000">
      <c r="A2000" t="n">
        <v>80282</v>
      </c>
      <c r="B2000" t="inlineStr">
        <is>
          <t>昇陽半導體二</t>
        </is>
      </c>
      <c r="C2000" t="n">
        <v>237</v>
      </c>
      <c r="D2000" t="n">
        <v>94</v>
      </c>
      <c r="E2000" t="inlineStr">
        <is>
          <t>H</t>
        </is>
      </c>
      <c r="F2000" s="208" t="n">
        <v>0.3093922651933702</v>
      </c>
    </row>
    <row r="2001">
      <c r="A2001" t="n">
        <v>80341</v>
      </c>
      <c r="B2001" t="inlineStr">
        <is>
          <t>榮群一</t>
        </is>
      </c>
      <c r="C2001" t="n">
        <v>169</v>
      </c>
      <c r="D2001" t="n">
        <v>90</v>
      </c>
    </row>
    <row r="2002">
      <c r="A2002" t="n">
        <v>80381</v>
      </c>
      <c r="B2002" t="inlineStr">
        <is>
          <t>長園科一</t>
        </is>
      </c>
      <c r="C2002" t="n">
        <v>145</v>
      </c>
      <c r="D2002" t="n">
        <v>100</v>
      </c>
    </row>
    <row r="2003">
      <c r="A2003" t="n">
        <v>80391</v>
      </c>
      <c r="B2003" t="inlineStr">
        <is>
          <t>台虹一</t>
        </is>
      </c>
      <c r="C2003" t="n">
        <v>188</v>
      </c>
      <c r="D2003" t="n">
        <v>97.5</v>
      </c>
    </row>
    <row r="2004">
      <c r="A2004" t="n">
        <v>80392</v>
      </c>
      <c r="B2004" t="inlineStr">
        <is>
          <t>台虹二</t>
        </is>
      </c>
      <c r="C2004" t="n">
        <v>126.2</v>
      </c>
      <c r="D2004" t="n">
        <v>97.7</v>
      </c>
    </row>
    <row r="2005">
      <c r="A2005" t="n">
        <v>80421</v>
      </c>
      <c r="B2005" t="inlineStr">
        <is>
          <t>金山電一</t>
        </is>
      </c>
      <c r="C2005" t="n">
        <v>321</v>
      </c>
      <c r="D2005" t="n">
        <v>100</v>
      </c>
    </row>
    <row r="2006">
      <c r="A2006" t="n">
        <v>80422</v>
      </c>
      <c r="B2006" t="inlineStr">
        <is>
          <t>金山電二</t>
        </is>
      </c>
      <c r="C2006" t="n">
        <v>116</v>
      </c>
      <c r="D2006" t="n">
        <v>94</v>
      </c>
    </row>
    <row r="2007">
      <c r="A2007" t="n">
        <v>80423</v>
      </c>
      <c r="B2007" t="inlineStr">
        <is>
          <t>金山電三</t>
        </is>
      </c>
      <c r="C2007" t="n">
        <v>210</v>
      </c>
      <c r="D2007" t="n">
        <v>98.05</v>
      </c>
    </row>
    <row r="2008">
      <c r="A2008" t="n">
        <v>80424</v>
      </c>
      <c r="B2008" t="inlineStr">
        <is>
          <t>金山電四</t>
        </is>
      </c>
      <c r="C2008" t="n">
        <v>195</v>
      </c>
      <c r="D2008" t="n">
        <v>101.5</v>
      </c>
    </row>
    <row r="2009">
      <c r="A2009" t="n">
        <v>80425</v>
      </c>
      <c r="B2009" t="inlineStr">
        <is>
          <t>金山電五</t>
        </is>
      </c>
      <c r="C2009" t="n">
        <v>109.45</v>
      </c>
      <c r="D2009" t="n">
        <v>89</v>
      </c>
    </row>
    <row r="2010">
      <c r="A2010" t="n">
        <v>80426</v>
      </c>
      <c r="B2010" t="inlineStr">
        <is>
          <t>金山電六</t>
        </is>
      </c>
      <c r="C2010" t="n">
        <v>250</v>
      </c>
      <c r="D2010" t="n">
        <v>103</v>
      </c>
      <c r="E2010" t="inlineStr">
        <is>
          <t>H</t>
        </is>
      </c>
      <c r="F2010" s="208" t="n">
        <v>0.7793594306049823</v>
      </c>
    </row>
    <row r="2011">
      <c r="A2011" t="n">
        <v>80431</v>
      </c>
      <c r="B2011" t="inlineStr">
        <is>
          <t>蜜望實一</t>
        </is>
      </c>
      <c r="C2011" t="n">
        <v>158</v>
      </c>
      <c r="D2011" t="n">
        <v>86</v>
      </c>
    </row>
    <row r="2012">
      <c r="A2012" t="n">
        <v>80441</v>
      </c>
      <c r="B2012" t="inlineStr">
        <is>
          <t>網家一</t>
        </is>
      </c>
      <c r="C2012" t="n">
        <v>142</v>
      </c>
      <c r="D2012" t="n">
        <v>98.8</v>
      </c>
    </row>
    <row r="2013">
      <c r="A2013" t="n">
        <v>80491</v>
      </c>
      <c r="B2013" t="inlineStr">
        <is>
          <t>晶采一</t>
        </is>
      </c>
      <c r="C2013" t="n">
        <v>248</v>
      </c>
      <c r="D2013" t="n">
        <v>90.5</v>
      </c>
    </row>
    <row r="2014">
      <c r="A2014" t="n">
        <v>80492</v>
      </c>
      <c r="B2014" t="inlineStr">
        <is>
          <t>晶采二</t>
        </is>
      </c>
      <c r="C2014" t="n">
        <v>120</v>
      </c>
      <c r="D2014" t="n">
        <v>40</v>
      </c>
    </row>
    <row r="2015">
      <c r="A2015" t="n">
        <v>80493</v>
      </c>
      <c r="B2015" t="inlineStr">
        <is>
          <t>晶采三</t>
        </is>
      </c>
      <c r="C2015" t="n">
        <v>134.7</v>
      </c>
      <c r="D2015" t="n">
        <v>97.5</v>
      </c>
    </row>
    <row r="2016">
      <c r="A2016" t="n">
        <v>80501</v>
      </c>
      <c r="B2016" t="inlineStr">
        <is>
          <t>廣積一</t>
        </is>
      </c>
      <c r="C2016" t="n">
        <v>203</v>
      </c>
      <c r="D2016" t="n">
        <v>100</v>
      </c>
    </row>
    <row r="2017">
      <c r="A2017" t="n">
        <v>80502</v>
      </c>
      <c r="B2017" t="inlineStr">
        <is>
          <t>廣積二</t>
        </is>
      </c>
      <c r="C2017" t="n">
        <v>167</v>
      </c>
      <c r="D2017" t="n">
        <v>100.5</v>
      </c>
    </row>
    <row r="2018">
      <c r="A2018" t="n">
        <v>80503</v>
      </c>
      <c r="B2018" t="inlineStr">
        <is>
          <t>廣積三</t>
        </is>
      </c>
      <c r="C2018" t="n">
        <v>212</v>
      </c>
      <c r="D2018" t="n">
        <v>102</v>
      </c>
    </row>
    <row r="2019">
      <c r="A2019" t="n">
        <v>80504</v>
      </c>
      <c r="B2019" t="inlineStr">
        <is>
          <t>廣積四</t>
        </is>
      </c>
      <c r="C2019" t="n">
        <v>158</v>
      </c>
      <c r="D2019" t="n">
        <v>107</v>
      </c>
    </row>
    <row r="2020">
      <c r="A2020" t="n">
        <v>80505</v>
      </c>
      <c r="B2020" t="inlineStr">
        <is>
          <t>廣積五</t>
        </is>
      </c>
      <c r="C2020" t="n">
        <v>200</v>
      </c>
      <c r="D2020" t="n">
        <v>103</v>
      </c>
    </row>
    <row r="2021">
      <c r="A2021" t="n">
        <v>80506</v>
      </c>
      <c r="B2021" t="inlineStr">
        <is>
          <t>廣積六</t>
        </is>
      </c>
      <c r="C2021" t="n">
        <v>158</v>
      </c>
      <c r="D2021" t="n">
        <v>96</v>
      </c>
      <c r="F2021" s="208" t="inlineStr"/>
    </row>
    <row r="2022">
      <c r="A2022" t="n">
        <v>80661</v>
      </c>
      <c r="B2022" t="inlineStr">
        <is>
          <t>來思達一</t>
        </is>
      </c>
      <c r="C2022" t="n">
        <v>110.5</v>
      </c>
      <c r="D2022" t="n">
        <v>99.5</v>
      </c>
    </row>
    <row r="2023">
      <c r="A2023" t="n">
        <v>80671</v>
      </c>
      <c r="B2023" t="inlineStr">
        <is>
          <t>志旭一</t>
        </is>
      </c>
      <c r="C2023" t="n">
        <v>182</v>
      </c>
      <c r="D2023" t="n">
        <v>93</v>
      </c>
    </row>
    <row r="2024">
      <c r="A2024" t="n">
        <v>80691</v>
      </c>
      <c r="B2024" t="inlineStr">
        <is>
          <t>元太一</t>
        </is>
      </c>
      <c r="C2024" t="n">
        <v>300</v>
      </c>
      <c r="D2024" t="n">
        <v>90.25</v>
      </c>
    </row>
    <row r="2025">
      <c r="A2025" t="n">
        <v>80692</v>
      </c>
      <c r="B2025" t="inlineStr">
        <is>
          <t>元太二</t>
        </is>
      </c>
      <c r="C2025" t="n">
        <v>202</v>
      </c>
      <c r="D2025" t="n">
        <v>93</v>
      </c>
    </row>
    <row r="2026">
      <c r="A2026" t="n">
        <v>80701</v>
      </c>
      <c r="B2026" t="inlineStr">
        <is>
          <t>長華一</t>
        </is>
      </c>
      <c r="C2026" t="n">
        <v>260</v>
      </c>
      <c r="D2026" t="n">
        <v>98</v>
      </c>
    </row>
    <row r="2027">
      <c r="A2027" t="n">
        <v>80702</v>
      </c>
      <c r="B2027" t="inlineStr">
        <is>
          <t>長華二</t>
        </is>
      </c>
      <c r="C2027" t="n">
        <v>120.5</v>
      </c>
      <c r="D2027" t="n">
        <v>99.09999999999999</v>
      </c>
    </row>
    <row r="2028">
      <c r="A2028" t="n">
        <v>80703</v>
      </c>
      <c r="B2028" t="inlineStr">
        <is>
          <t>長華三</t>
        </is>
      </c>
      <c r="C2028" t="n">
        <v>115.95</v>
      </c>
      <c r="D2028" t="n">
        <v>98.40000000000001</v>
      </c>
    </row>
    <row r="2029">
      <c r="A2029" t="n">
        <v>80704</v>
      </c>
      <c r="B2029" t="inlineStr">
        <is>
          <t>長華四</t>
        </is>
      </c>
      <c r="C2029" t="n">
        <v>188</v>
      </c>
      <c r="D2029" t="n">
        <v>108.95</v>
      </c>
    </row>
    <row r="2030">
      <c r="A2030" t="n">
        <v>80705</v>
      </c>
      <c r="B2030" t="inlineStr">
        <is>
          <t>長華五</t>
        </is>
      </c>
      <c r="C2030" t="n">
        <v>163</v>
      </c>
      <c r="D2030" t="n">
        <v>105</v>
      </c>
    </row>
    <row r="2031">
      <c r="A2031" t="n">
        <v>80711</v>
      </c>
      <c r="B2031" t="inlineStr">
        <is>
          <t>豐聲一</t>
        </is>
      </c>
      <c r="C2031" t="n">
        <v>116</v>
      </c>
      <c r="D2031" t="n">
        <v>88</v>
      </c>
    </row>
    <row r="2032">
      <c r="A2032" t="n">
        <v>80741</v>
      </c>
      <c r="B2032" t="inlineStr">
        <is>
          <t>鉅橡一</t>
        </is>
      </c>
      <c r="C2032" t="n">
        <v>189</v>
      </c>
      <c r="D2032" t="n">
        <v>88</v>
      </c>
    </row>
    <row r="2033">
      <c r="A2033" t="n">
        <v>80742</v>
      </c>
      <c r="B2033" t="inlineStr">
        <is>
          <t>鉅橡二</t>
        </is>
      </c>
      <c r="C2033" t="n">
        <v>116</v>
      </c>
      <c r="D2033" t="n">
        <v>79.5</v>
      </c>
    </row>
    <row r="2034">
      <c r="A2034" t="n">
        <v>80743</v>
      </c>
      <c r="B2034" t="inlineStr">
        <is>
          <t>鉅橡三</t>
        </is>
      </c>
      <c r="C2034" t="n">
        <v>327</v>
      </c>
      <c r="D2034" t="n">
        <v>108</v>
      </c>
    </row>
    <row r="2035">
      <c r="A2035" t="n">
        <v>80744</v>
      </c>
      <c r="B2035" t="inlineStr">
        <is>
          <t>鉅橡四</t>
        </is>
      </c>
      <c r="C2035" t="n">
        <v>318</v>
      </c>
      <c r="D2035" t="n">
        <v>110</v>
      </c>
    </row>
    <row r="2036">
      <c r="A2036" t="n">
        <v>80745</v>
      </c>
      <c r="B2036" t="inlineStr">
        <is>
          <t>鉅橡五</t>
        </is>
      </c>
      <c r="C2036" t="n">
        <v>187</v>
      </c>
      <c r="D2036" t="n">
        <v>105.2</v>
      </c>
    </row>
    <row r="2037">
      <c r="A2037" t="n">
        <v>80761</v>
      </c>
      <c r="B2037" t="inlineStr">
        <is>
          <t>伍豐一</t>
        </is>
      </c>
      <c r="C2037" t="n">
        <v>385</v>
      </c>
      <c r="D2037" t="n">
        <v>100</v>
      </c>
    </row>
    <row r="2038">
      <c r="A2038" t="n">
        <v>80762</v>
      </c>
      <c r="B2038" t="inlineStr">
        <is>
          <t>伍豐二</t>
        </is>
      </c>
      <c r="C2038" t="n">
        <v>348</v>
      </c>
      <c r="D2038" t="n">
        <v>107</v>
      </c>
    </row>
    <row r="2039">
      <c r="A2039" t="n">
        <v>80763</v>
      </c>
      <c r="B2039" t="inlineStr">
        <is>
          <t>伍豐三</t>
        </is>
      </c>
      <c r="C2039" t="n">
        <v>477</v>
      </c>
      <c r="D2039" t="n">
        <v>107</v>
      </c>
    </row>
    <row r="2040">
      <c r="A2040" t="n">
        <v>80764</v>
      </c>
      <c r="B2040" t="inlineStr">
        <is>
          <t>伍豐四</t>
        </is>
      </c>
      <c r="C2040" t="n">
        <v>128</v>
      </c>
      <c r="D2040" t="n">
        <v>99.7</v>
      </c>
    </row>
    <row r="2041">
      <c r="A2041" t="n">
        <v>80771</v>
      </c>
      <c r="B2041" t="inlineStr">
        <is>
          <t>冠華一</t>
        </is>
      </c>
      <c r="C2041" t="n">
        <v>128</v>
      </c>
      <c r="D2041" t="n">
        <v>73</v>
      </c>
    </row>
    <row r="2042">
      <c r="A2042" t="n">
        <v>80791</v>
      </c>
      <c r="B2042" t="inlineStr">
        <is>
          <t>誠遠一</t>
        </is>
      </c>
      <c r="C2042" t="n">
        <v>163</v>
      </c>
      <c r="D2042" t="n">
        <v>99</v>
      </c>
    </row>
    <row r="2043">
      <c r="A2043" t="n">
        <v>80792</v>
      </c>
      <c r="B2043" t="inlineStr">
        <is>
          <t>誠遠二</t>
        </is>
      </c>
      <c r="C2043" t="n">
        <v>163</v>
      </c>
      <c r="D2043" t="n">
        <v>86.5</v>
      </c>
    </row>
    <row r="2044">
      <c r="A2044" t="n">
        <v>80821</v>
      </c>
      <c r="B2044" t="inlineStr">
        <is>
          <t>捷超一</t>
        </is>
      </c>
      <c r="C2044" t="n">
        <v>256</v>
      </c>
      <c r="D2044" t="n">
        <v>117</v>
      </c>
    </row>
    <row r="2045">
      <c r="A2045" t="n">
        <v>80822</v>
      </c>
      <c r="B2045" t="inlineStr">
        <is>
          <t>捷超二</t>
        </is>
      </c>
      <c r="C2045" t="n">
        <v>147.5</v>
      </c>
      <c r="D2045" t="n">
        <v>100</v>
      </c>
    </row>
    <row r="2046">
      <c r="A2046" t="n">
        <v>80823</v>
      </c>
      <c r="B2046" t="inlineStr">
        <is>
          <t>捷超三</t>
        </is>
      </c>
      <c r="C2046" t="n">
        <v>139</v>
      </c>
      <c r="D2046" t="n">
        <v>82</v>
      </c>
    </row>
    <row r="2047">
      <c r="A2047" t="n">
        <v>80841</v>
      </c>
      <c r="B2047" t="inlineStr">
        <is>
          <t>巨虹一</t>
        </is>
      </c>
      <c r="C2047" t="n">
        <v>128</v>
      </c>
      <c r="D2047" t="n">
        <v>102.9</v>
      </c>
    </row>
    <row r="2048">
      <c r="A2048" t="n">
        <v>80851</v>
      </c>
      <c r="B2048" t="inlineStr">
        <is>
          <t>福華一</t>
        </is>
      </c>
      <c r="C2048" t="n">
        <v>245</v>
      </c>
      <c r="D2048" t="n">
        <v>84.09999999999999</v>
      </c>
    </row>
    <row r="2049">
      <c r="A2049" t="n">
        <v>80852</v>
      </c>
      <c r="B2049" t="inlineStr">
        <is>
          <t>福華二</t>
        </is>
      </c>
      <c r="C2049" t="n">
        <v>100</v>
      </c>
      <c r="D2049" t="n">
        <v>77</v>
      </c>
    </row>
    <row r="2050">
      <c r="A2050" t="n">
        <v>80871</v>
      </c>
      <c r="B2050" t="inlineStr">
        <is>
          <t>華鎂一</t>
        </is>
      </c>
      <c r="C2050" t="n">
        <v>112.5</v>
      </c>
      <c r="D2050" t="n">
        <v>100</v>
      </c>
    </row>
    <row r="2051">
      <c r="A2051" t="n">
        <v>80872</v>
      </c>
      <c r="B2051" t="inlineStr">
        <is>
          <t>麗升能源二</t>
        </is>
      </c>
      <c r="C2051" t="n">
        <v>107</v>
      </c>
      <c r="D2051" t="n">
        <v>91.09999999999999</v>
      </c>
    </row>
    <row r="2052">
      <c r="A2052" t="n">
        <v>80881</v>
      </c>
      <c r="B2052" t="inlineStr">
        <is>
          <t>品安一</t>
        </is>
      </c>
      <c r="C2052" t="n">
        <v>269</v>
      </c>
      <c r="D2052" t="n">
        <v>265</v>
      </c>
    </row>
    <row r="2053">
      <c r="A2053" t="n">
        <v>80882</v>
      </c>
      <c r="B2053" t="inlineStr">
        <is>
          <t>品安二</t>
        </is>
      </c>
      <c r="C2053" t="n">
        <v>151</v>
      </c>
      <c r="D2053" t="n">
        <v>100</v>
      </c>
    </row>
    <row r="2054">
      <c r="A2054" t="n">
        <v>80911</v>
      </c>
      <c r="B2054" t="inlineStr">
        <is>
          <t>翔名一</t>
        </is>
      </c>
      <c r="C2054" t="n">
        <v>187</v>
      </c>
      <c r="D2054" t="n">
        <v>105</v>
      </c>
    </row>
    <row r="2055">
      <c r="A2055" t="n">
        <v>80912</v>
      </c>
      <c r="B2055" t="inlineStr">
        <is>
          <t>翔名二</t>
        </is>
      </c>
      <c r="C2055" t="n">
        <v>151</v>
      </c>
      <c r="D2055" t="n">
        <v>100.95</v>
      </c>
    </row>
    <row r="2056">
      <c r="A2056" t="n">
        <v>80913</v>
      </c>
      <c r="B2056" t="inlineStr">
        <is>
          <t>翔名三</t>
        </is>
      </c>
      <c r="C2056" t="n">
        <v>146</v>
      </c>
      <c r="D2056" t="n">
        <v>100.2</v>
      </c>
    </row>
    <row r="2057">
      <c r="A2057" t="n">
        <v>80914</v>
      </c>
      <c r="B2057" t="inlineStr">
        <is>
          <t>翔名四</t>
        </is>
      </c>
      <c r="C2057" t="n">
        <v>210</v>
      </c>
      <c r="D2057" t="n">
        <v>102</v>
      </c>
      <c r="E2057" t="inlineStr">
        <is>
          <t>H</t>
        </is>
      </c>
      <c r="F2057" s="208" t="n">
        <v>0.3636363636363636</v>
      </c>
    </row>
    <row r="2058">
      <c r="A2058" t="n">
        <v>80921</v>
      </c>
      <c r="B2058" t="inlineStr">
        <is>
          <t>建暐一</t>
        </is>
      </c>
      <c r="C2058" t="n">
        <v>103.5</v>
      </c>
      <c r="D2058" t="n">
        <v>98</v>
      </c>
    </row>
    <row r="2059">
      <c r="A2059" t="n">
        <v>80922</v>
      </c>
      <c r="B2059" t="inlineStr">
        <is>
          <t>建暐二</t>
        </is>
      </c>
      <c r="C2059" t="n">
        <v>225</v>
      </c>
      <c r="D2059" t="n">
        <v>100.5</v>
      </c>
    </row>
    <row r="2060">
      <c r="A2060" t="n">
        <v>80923</v>
      </c>
      <c r="B2060" t="inlineStr">
        <is>
          <t>建暐三</t>
        </is>
      </c>
      <c r="C2060" t="n">
        <v>147</v>
      </c>
      <c r="D2060" t="n">
        <v>106.6</v>
      </c>
    </row>
    <row r="2061">
      <c r="A2061" t="n">
        <v>80924</v>
      </c>
      <c r="B2061" t="inlineStr">
        <is>
          <t>建暐四</t>
        </is>
      </c>
      <c r="C2061" t="n">
        <v>230</v>
      </c>
      <c r="D2061" t="n">
        <v>110.55</v>
      </c>
    </row>
    <row r="2062">
      <c r="A2062" t="n">
        <v>80961</v>
      </c>
      <c r="B2062" t="inlineStr">
        <is>
          <t>擎亞一</t>
        </is>
      </c>
      <c r="C2062" t="n">
        <v>157</v>
      </c>
      <c r="D2062" t="n">
        <v>92</v>
      </c>
    </row>
    <row r="2063">
      <c r="A2063" t="n">
        <v>80971</v>
      </c>
      <c r="B2063" t="inlineStr">
        <is>
          <t>鴻松一</t>
        </is>
      </c>
      <c r="C2063" t="n">
        <v>157</v>
      </c>
      <c r="D2063" t="n">
        <v>101.6</v>
      </c>
    </row>
    <row r="2064">
      <c r="A2064" t="n">
        <v>80972</v>
      </c>
      <c r="B2064" t="inlineStr">
        <is>
          <t>常珵二</t>
        </is>
      </c>
      <c r="C2064" t="n">
        <v>381</v>
      </c>
      <c r="D2064" t="n">
        <v>112.2</v>
      </c>
    </row>
    <row r="2065">
      <c r="A2065" t="n">
        <v>81011</v>
      </c>
      <c r="B2065" t="inlineStr">
        <is>
          <t>華冠一</t>
        </is>
      </c>
      <c r="C2065" t="n">
        <v>143</v>
      </c>
      <c r="D2065" t="n">
        <v>53</v>
      </c>
    </row>
    <row r="2066">
      <c r="A2066" t="n">
        <v>81031</v>
      </c>
      <c r="B2066" t="inlineStr">
        <is>
          <t>瀚荃一</t>
        </is>
      </c>
      <c r="C2066" t="n">
        <v>232</v>
      </c>
      <c r="D2066" t="n">
        <v>99</v>
      </c>
    </row>
    <row r="2067">
      <c r="A2067" t="n">
        <v>81032</v>
      </c>
      <c r="B2067" t="inlineStr">
        <is>
          <t>瀚荃二</t>
        </is>
      </c>
      <c r="C2067" t="n">
        <v>188</v>
      </c>
      <c r="D2067" t="n">
        <v>97.8</v>
      </c>
    </row>
    <row r="2068">
      <c r="A2068" t="n">
        <v>81033</v>
      </c>
      <c r="B2068" t="inlineStr">
        <is>
          <t>瀚荃三</t>
        </is>
      </c>
      <c r="C2068" t="n">
        <v>207</v>
      </c>
      <c r="D2068" t="n">
        <v>96</v>
      </c>
    </row>
    <row r="2069">
      <c r="A2069" t="n">
        <v>81034</v>
      </c>
      <c r="B2069" t="inlineStr">
        <is>
          <t>瀚荃四</t>
        </is>
      </c>
      <c r="C2069" t="n">
        <v>219</v>
      </c>
      <c r="D2069" t="n">
        <v>99.5</v>
      </c>
    </row>
    <row r="2070">
      <c r="A2070" t="n">
        <v>81041</v>
      </c>
      <c r="B2070" t="inlineStr">
        <is>
          <t>錸寶一</t>
        </is>
      </c>
      <c r="C2070" t="n">
        <v>192</v>
      </c>
      <c r="D2070" t="n">
        <v>97</v>
      </c>
    </row>
    <row r="2071">
      <c r="A2071" t="n">
        <v>81042</v>
      </c>
      <c r="B2071" t="inlineStr">
        <is>
          <t>錸寶二</t>
        </is>
      </c>
      <c r="C2071" t="n">
        <v>119</v>
      </c>
      <c r="D2071" t="n">
        <v>90</v>
      </c>
    </row>
    <row r="2072">
      <c r="A2072" t="n">
        <v>81051</v>
      </c>
      <c r="B2072" t="inlineStr">
        <is>
          <t>凌巨一</t>
        </is>
      </c>
      <c r="C2072" t="n">
        <v>161</v>
      </c>
      <c r="D2072" t="n">
        <v>94.5</v>
      </c>
    </row>
    <row r="2073">
      <c r="A2073" t="n">
        <v>81052</v>
      </c>
      <c r="B2073" t="inlineStr">
        <is>
          <t>凌巨二</t>
        </is>
      </c>
      <c r="C2073" t="n">
        <v>103.8</v>
      </c>
      <c r="D2073" t="n">
        <v>81.45</v>
      </c>
    </row>
    <row r="2074">
      <c r="A2074" t="n">
        <v>81071</v>
      </c>
      <c r="B2074" t="inlineStr">
        <is>
          <t>大億一</t>
        </is>
      </c>
      <c r="C2074" t="n">
        <v>112.2</v>
      </c>
      <c r="D2074" t="n">
        <v>86</v>
      </c>
    </row>
    <row r="2075">
      <c r="A2075" t="n">
        <v>81072</v>
      </c>
      <c r="B2075" t="inlineStr">
        <is>
          <t>大億二</t>
        </is>
      </c>
      <c r="C2075" t="n">
        <v>123</v>
      </c>
      <c r="D2075" t="n">
        <v>100.5</v>
      </c>
    </row>
    <row r="2076">
      <c r="A2076" t="n">
        <v>81073</v>
      </c>
      <c r="B2076" t="inlineStr">
        <is>
          <t>大億三</t>
        </is>
      </c>
      <c r="C2076" t="n">
        <v>148</v>
      </c>
      <c r="D2076" t="n">
        <v>83.5</v>
      </c>
    </row>
    <row r="2077">
      <c r="A2077" t="n">
        <v>81091</v>
      </c>
      <c r="B2077" t="inlineStr">
        <is>
          <t>博大一</t>
        </is>
      </c>
      <c r="C2077" t="n">
        <v>175</v>
      </c>
      <c r="D2077" t="n">
        <v>106.5</v>
      </c>
    </row>
    <row r="2078">
      <c r="A2078" t="n">
        <v>81101</v>
      </c>
      <c r="B2078" t="inlineStr">
        <is>
          <t>華東一</t>
        </is>
      </c>
      <c r="C2078" t="n">
        <v>138</v>
      </c>
      <c r="D2078" t="n">
        <v>92.90000000000001</v>
      </c>
    </row>
    <row r="2079">
      <c r="A2079" t="n">
        <v>81102</v>
      </c>
      <c r="B2079" t="inlineStr">
        <is>
          <t>華東二</t>
        </is>
      </c>
      <c r="C2079" t="n">
        <v>112.5</v>
      </c>
      <c r="D2079" t="n">
        <v>97.2</v>
      </c>
    </row>
    <row r="2080">
      <c r="A2080" t="n">
        <v>81111</v>
      </c>
      <c r="B2080" t="inlineStr">
        <is>
          <t>立碁一</t>
        </is>
      </c>
      <c r="C2080" t="n">
        <v>190</v>
      </c>
      <c r="D2080" t="n">
        <v>91.75</v>
      </c>
    </row>
    <row r="2081">
      <c r="A2081" t="n">
        <v>81112</v>
      </c>
      <c r="B2081" t="inlineStr">
        <is>
          <t>立碁二</t>
        </is>
      </c>
      <c r="C2081" t="n">
        <v>127</v>
      </c>
      <c r="D2081" t="n">
        <v>93.5</v>
      </c>
    </row>
    <row r="2082">
      <c r="A2082" t="n">
        <v>81113</v>
      </c>
      <c r="B2082" t="inlineStr">
        <is>
          <t>立碁三</t>
        </is>
      </c>
      <c r="C2082" t="n">
        <v>126</v>
      </c>
      <c r="D2082" t="n">
        <v>40.3</v>
      </c>
    </row>
    <row r="2083">
      <c r="A2083" t="n">
        <v>81121</v>
      </c>
      <c r="B2083" t="inlineStr">
        <is>
          <t>至上一</t>
        </is>
      </c>
      <c r="C2083" t="n">
        <v>130.1</v>
      </c>
      <c r="D2083" t="n">
        <v>75</v>
      </c>
    </row>
    <row r="2084">
      <c r="A2084" t="n">
        <v>81122</v>
      </c>
      <c r="B2084" t="inlineStr">
        <is>
          <t>至上二</t>
        </is>
      </c>
      <c r="C2084" t="n">
        <v>145</v>
      </c>
      <c r="D2084" t="n">
        <v>100</v>
      </c>
    </row>
    <row r="2085">
      <c r="A2085" t="n">
        <v>81123</v>
      </c>
      <c r="B2085" t="inlineStr">
        <is>
          <t>至上三</t>
        </is>
      </c>
      <c r="C2085" t="n">
        <v>124.1</v>
      </c>
      <c r="D2085" t="n">
        <v>85</v>
      </c>
    </row>
    <row r="2086">
      <c r="A2086" t="n">
        <v>81124</v>
      </c>
      <c r="B2086" t="inlineStr">
        <is>
          <t>至上四</t>
        </is>
      </c>
      <c r="C2086" t="n">
        <v>322</v>
      </c>
      <c r="D2086" t="n">
        <v>107</v>
      </c>
    </row>
    <row r="2087">
      <c r="A2087" t="n">
        <v>81125</v>
      </c>
      <c r="B2087" t="inlineStr">
        <is>
          <t>至上五</t>
        </is>
      </c>
      <c r="C2087" t="n">
        <v>116</v>
      </c>
      <c r="D2087" t="n">
        <v>100.85</v>
      </c>
    </row>
    <row r="2088">
      <c r="A2088" t="n">
        <v>81126</v>
      </c>
      <c r="B2088" t="inlineStr">
        <is>
          <t>至上六</t>
        </is>
      </c>
      <c r="C2088" t="n">
        <v>134.6</v>
      </c>
      <c r="D2088" t="n">
        <v>100.5</v>
      </c>
    </row>
    <row r="2089">
      <c r="A2089" t="n">
        <v>81127</v>
      </c>
      <c r="B2089" t="inlineStr">
        <is>
          <t>至上七</t>
        </is>
      </c>
      <c r="C2089" t="n">
        <v>152</v>
      </c>
      <c r="D2089" t="n">
        <v>107</v>
      </c>
    </row>
    <row r="2090">
      <c r="A2090" t="n">
        <v>81128</v>
      </c>
      <c r="B2090" t="inlineStr">
        <is>
          <t>至上八</t>
        </is>
      </c>
      <c r="C2090" t="n">
        <v>288</v>
      </c>
      <c r="D2090" t="n">
        <v>101.5</v>
      </c>
    </row>
    <row r="2091">
      <c r="A2091" t="n">
        <v>81129</v>
      </c>
      <c r="B2091" t="inlineStr">
        <is>
          <t>至上九</t>
        </is>
      </c>
      <c r="C2091" t="n">
        <v>221</v>
      </c>
      <c r="D2091" t="n">
        <v>95.95</v>
      </c>
    </row>
    <row r="2092">
      <c r="A2092" t="n">
        <v>81141</v>
      </c>
      <c r="B2092" t="inlineStr">
        <is>
          <t>振樺電一</t>
        </is>
      </c>
      <c r="C2092" t="n">
        <v>124</v>
      </c>
      <c r="D2092" t="n">
        <v>98</v>
      </c>
    </row>
    <row r="2093">
      <c r="A2093" t="n">
        <v>81142</v>
      </c>
      <c r="B2093" t="inlineStr">
        <is>
          <t>振樺電二</t>
        </is>
      </c>
      <c r="C2093" t="n">
        <v>106.5</v>
      </c>
      <c r="D2093" t="n">
        <v>91.8</v>
      </c>
    </row>
    <row r="2094">
      <c r="A2094" t="n">
        <v>81471</v>
      </c>
      <c r="B2094" t="inlineStr">
        <is>
          <t>正淩一</t>
        </is>
      </c>
      <c r="C2094" t="n">
        <v>167</v>
      </c>
      <c r="D2094" t="n">
        <v>100.2</v>
      </c>
    </row>
    <row r="2095">
      <c r="A2095" t="n">
        <v>81472</v>
      </c>
      <c r="B2095" t="inlineStr">
        <is>
          <t>正淩二</t>
        </is>
      </c>
      <c r="C2095" t="n">
        <v>248</v>
      </c>
      <c r="D2095" t="n">
        <v>102</v>
      </c>
    </row>
    <row r="2096">
      <c r="A2096" t="n">
        <v>81473</v>
      </c>
      <c r="B2096" t="inlineStr">
        <is>
          <t>正淩三</t>
        </is>
      </c>
      <c r="C2096" t="n">
        <v>152</v>
      </c>
      <c r="D2096" t="n">
        <v>94.5</v>
      </c>
      <c r="E2096" t="inlineStr">
        <is>
          <t>H</t>
        </is>
      </c>
      <c r="F2096" s="208" t="n">
        <v>0.02702702702702703</v>
      </c>
    </row>
    <row r="2097">
      <c r="A2097" t="n">
        <v>81551</v>
      </c>
      <c r="B2097" t="inlineStr">
        <is>
          <t>博智一</t>
        </is>
      </c>
      <c r="C2097" t="n">
        <v>389</v>
      </c>
      <c r="D2097" t="n">
        <v>102.05</v>
      </c>
      <c r="E2097" t="inlineStr">
        <is>
          <t>H</t>
        </is>
      </c>
      <c r="F2097" s="208" t="n">
        <v>0.09577464788732394</v>
      </c>
    </row>
    <row r="2098">
      <c r="A2098" t="n">
        <v>81711</v>
      </c>
      <c r="B2098" t="inlineStr">
        <is>
          <t>天宇一</t>
        </is>
      </c>
      <c r="C2098" t="n">
        <v>234</v>
      </c>
      <c r="D2098" t="n">
        <v>104.5</v>
      </c>
    </row>
    <row r="2099">
      <c r="A2099" t="n">
        <v>81712</v>
      </c>
      <c r="B2099" t="inlineStr">
        <is>
          <t>天宇二</t>
        </is>
      </c>
      <c r="C2099" t="n">
        <v>119</v>
      </c>
      <c r="D2099" t="n">
        <v>100</v>
      </c>
    </row>
    <row r="2100">
      <c r="A2100" t="n">
        <v>81713</v>
      </c>
      <c r="B2100" t="inlineStr">
        <is>
          <t>天宇三</t>
        </is>
      </c>
      <c r="C2100" t="n">
        <v>140.1</v>
      </c>
      <c r="D2100" t="n">
        <v>99.59999999999999</v>
      </c>
    </row>
    <row r="2101">
      <c r="A2101" t="n">
        <v>81714</v>
      </c>
      <c r="B2101" t="inlineStr">
        <is>
          <t>天宇四</t>
        </is>
      </c>
      <c r="C2101" t="n">
        <v>136</v>
      </c>
      <c r="D2101" t="n">
        <v>103</v>
      </c>
      <c r="F2101" s="208" t="inlineStr"/>
    </row>
    <row r="2102">
      <c r="A2102" t="n">
        <v>81715</v>
      </c>
      <c r="B2102" t="inlineStr">
        <is>
          <t>天宇五</t>
        </is>
      </c>
      <c r="C2102" t="n">
        <v>128</v>
      </c>
      <c r="D2102" t="n">
        <v>92.05</v>
      </c>
      <c r="F2102" s="208" t="inlineStr"/>
    </row>
    <row r="2103">
      <c r="A2103" t="n">
        <v>82101</v>
      </c>
      <c r="B2103" t="inlineStr">
        <is>
          <t>勤誠一</t>
        </is>
      </c>
      <c r="C2103" t="n">
        <v>240</v>
      </c>
      <c r="D2103" t="n">
        <v>99.09999999999999</v>
      </c>
    </row>
    <row r="2104">
      <c r="A2104" t="n">
        <v>82102</v>
      </c>
      <c r="B2104" t="inlineStr">
        <is>
          <t>勤誠二</t>
        </is>
      </c>
      <c r="C2104" t="n">
        <v>175</v>
      </c>
      <c r="D2104" t="n">
        <v>110.55</v>
      </c>
      <c r="E2104" t="inlineStr">
        <is>
          <t>H</t>
        </is>
      </c>
      <c r="F2104" s="208" t="n">
        <v>0.08695652173913043</v>
      </c>
    </row>
    <row r="2105">
      <c r="A2105" t="n">
        <v>82103</v>
      </c>
      <c r="B2105" t="inlineStr">
        <is>
          <t>勤誠三</t>
        </is>
      </c>
      <c r="C2105" t="n">
        <v>175</v>
      </c>
      <c r="D2105" t="n">
        <v>122.95</v>
      </c>
      <c r="E2105" t="inlineStr">
        <is>
          <t>H</t>
        </is>
      </c>
      <c r="F2105" s="208" t="n">
        <v>0.0736196319018405</v>
      </c>
    </row>
    <row r="2106">
      <c r="A2106" t="n">
        <v>82131</v>
      </c>
      <c r="B2106" t="inlineStr">
        <is>
          <t>志超一</t>
        </is>
      </c>
      <c r="C2106" t="n">
        <v>135</v>
      </c>
      <c r="D2106" t="n">
        <v>100.3</v>
      </c>
    </row>
    <row r="2107">
      <c r="A2107" t="n">
        <v>82341</v>
      </c>
      <c r="B2107" t="inlineStr">
        <is>
          <t>新漢一</t>
        </is>
      </c>
      <c r="C2107" t="n">
        <v>121</v>
      </c>
      <c r="D2107" t="n">
        <v>95.05</v>
      </c>
    </row>
    <row r="2108">
      <c r="A2108" t="n">
        <v>82401</v>
      </c>
      <c r="B2108" t="inlineStr">
        <is>
          <t>華宏一</t>
        </is>
      </c>
      <c r="C2108" t="n">
        <v>130.5</v>
      </c>
      <c r="D2108" t="n">
        <v>100</v>
      </c>
    </row>
    <row r="2109">
      <c r="A2109" t="n">
        <v>82402</v>
      </c>
      <c r="B2109" t="inlineStr">
        <is>
          <t>華宏二</t>
        </is>
      </c>
      <c r="C2109" t="n">
        <v>106.8</v>
      </c>
      <c r="D2109" t="n">
        <v>97.09999999999999</v>
      </c>
    </row>
    <row r="2110">
      <c r="A2110" t="n">
        <v>82491</v>
      </c>
      <c r="B2110" t="inlineStr">
        <is>
          <t>菱光一</t>
        </is>
      </c>
      <c r="C2110" t="n">
        <v>156</v>
      </c>
      <c r="D2110" t="n">
        <v>97</v>
      </c>
    </row>
    <row r="2111">
      <c r="A2111" t="n">
        <v>82551</v>
      </c>
      <c r="B2111" t="inlineStr">
        <is>
          <t>朋程一</t>
        </is>
      </c>
      <c r="C2111" t="n">
        <v>132.5</v>
      </c>
      <c r="D2111" t="n">
        <v>100</v>
      </c>
    </row>
    <row r="2112">
      <c r="A2112" t="n">
        <v>82611</v>
      </c>
      <c r="B2112" t="inlineStr">
        <is>
          <t>富鼎一</t>
        </is>
      </c>
      <c r="C2112" t="n">
        <v>185</v>
      </c>
      <c r="D2112" t="n">
        <v>96</v>
      </c>
    </row>
    <row r="2113">
      <c r="A2113" t="n">
        <v>82612</v>
      </c>
      <c r="B2113" t="inlineStr">
        <is>
          <t>富鼎二</t>
        </is>
      </c>
      <c r="C2113" t="n">
        <v>120</v>
      </c>
      <c r="D2113" t="n">
        <v>99.3</v>
      </c>
    </row>
    <row r="2114">
      <c r="A2114" t="n">
        <v>82613</v>
      </c>
      <c r="B2114" t="inlineStr">
        <is>
          <t>富鼎三</t>
        </is>
      </c>
      <c r="C2114" t="n">
        <v>120</v>
      </c>
      <c r="D2114" t="n">
        <v>100</v>
      </c>
    </row>
    <row r="2115">
      <c r="A2115" t="n">
        <v>82661</v>
      </c>
      <c r="B2115" t="inlineStr">
        <is>
          <t>中日一</t>
        </is>
      </c>
      <c r="C2115" t="n">
        <v>117.1</v>
      </c>
      <c r="D2115" t="n">
        <v>102.2</v>
      </c>
    </row>
    <row r="2116">
      <c r="A2116" t="n">
        <v>82771</v>
      </c>
      <c r="B2116" t="inlineStr">
        <is>
          <t>商丞一</t>
        </is>
      </c>
      <c r="C2116" t="n">
        <v>155</v>
      </c>
      <c r="D2116" t="n">
        <v>93.5</v>
      </c>
    </row>
    <row r="2117">
      <c r="A2117" t="n">
        <v>82772</v>
      </c>
      <c r="B2117" t="inlineStr">
        <is>
          <t>商丞二</t>
        </is>
      </c>
      <c r="C2117" t="n">
        <v>235</v>
      </c>
      <c r="D2117" t="n">
        <v>80</v>
      </c>
    </row>
    <row r="2118">
      <c r="A2118" t="n">
        <v>82773</v>
      </c>
      <c r="B2118" t="inlineStr">
        <is>
          <t>商丞三</t>
        </is>
      </c>
      <c r="C2118" t="n">
        <v>107</v>
      </c>
      <c r="D2118" t="n">
        <v>97</v>
      </c>
    </row>
    <row r="2119">
      <c r="A2119" t="n">
        <v>82871</v>
      </c>
      <c r="B2119" t="inlineStr">
        <is>
          <t>英格爾ㄧ</t>
        </is>
      </c>
      <c r="C2119" t="n">
        <v>1390</v>
      </c>
      <c r="D2119" t="n">
        <v>96.25</v>
      </c>
    </row>
    <row r="2120">
      <c r="A2120" t="n">
        <v>82891</v>
      </c>
      <c r="B2120" t="inlineStr">
        <is>
          <t>泰藝一</t>
        </is>
      </c>
      <c r="C2120" t="n">
        <v>118</v>
      </c>
      <c r="D2120" t="n">
        <v>95</v>
      </c>
    </row>
    <row r="2121">
      <c r="A2121" t="n">
        <v>82991</v>
      </c>
      <c r="B2121" t="inlineStr">
        <is>
          <t>群聯一</t>
        </is>
      </c>
      <c r="C2121" t="n">
        <v>153</v>
      </c>
      <c r="D2121" t="n">
        <v>97</v>
      </c>
    </row>
    <row r="2122">
      <c r="A2122" t="n">
        <v>82992</v>
      </c>
      <c r="B2122" t="inlineStr">
        <is>
          <t>群聯二</t>
        </is>
      </c>
      <c r="C2122" t="n">
        <v>374</v>
      </c>
      <c r="D2122" t="n">
        <v>102</v>
      </c>
    </row>
    <row r="2123">
      <c r="A2123" t="n">
        <v>82993</v>
      </c>
      <c r="B2123" t="inlineStr">
        <is>
          <t>群聯三</t>
        </is>
      </c>
      <c r="C2123" t="n">
        <v>171</v>
      </c>
      <c r="D2123" t="n">
        <v>111.1</v>
      </c>
      <c r="E2123" t="inlineStr">
        <is>
          <t>H</t>
        </is>
      </c>
      <c r="F2123" s="208" t="n">
        <v>0.2573529411764706</v>
      </c>
    </row>
    <row r="2124">
      <c r="A2124" t="n">
        <v>83491</v>
      </c>
      <c r="B2124" t="inlineStr">
        <is>
          <t>友信一</t>
        </is>
      </c>
      <c r="C2124" t="n">
        <v>243</v>
      </c>
      <c r="D2124" t="n">
        <v>107</v>
      </c>
    </row>
    <row r="2125">
      <c r="A2125" t="n">
        <v>83492</v>
      </c>
      <c r="B2125" t="inlineStr">
        <is>
          <t>恒耀二</t>
        </is>
      </c>
      <c r="C2125" t="n">
        <v>158</v>
      </c>
      <c r="D2125" t="n">
        <v>100</v>
      </c>
    </row>
    <row r="2126">
      <c r="A2126" t="n">
        <v>83493</v>
      </c>
      <c r="B2126" t="inlineStr">
        <is>
          <t>恒耀三</t>
        </is>
      </c>
      <c r="C2126" t="n">
        <v>214</v>
      </c>
      <c r="D2126" t="n">
        <v>103</v>
      </c>
    </row>
    <row r="2127">
      <c r="A2127" t="n">
        <v>83494</v>
      </c>
      <c r="B2127" t="inlineStr">
        <is>
          <t>恒耀四</t>
        </is>
      </c>
      <c r="C2127" t="n">
        <v>175</v>
      </c>
      <c r="D2127" t="n">
        <v>93.05</v>
      </c>
    </row>
    <row r="2128">
      <c r="A2128" t="n">
        <v>83541</v>
      </c>
      <c r="B2128" t="inlineStr">
        <is>
          <t>冠郝一</t>
        </is>
      </c>
      <c r="C2128" t="n">
        <v>144.45</v>
      </c>
      <c r="D2128" t="n">
        <v>94</v>
      </c>
    </row>
    <row r="2129">
      <c r="A2129" t="n">
        <v>83671</v>
      </c>
      <c r="B2129" t="inlineStr">
        <is>
          <t>建新國際一</t>
        </is>
      </c>
      <c r="C2129" t="n">
        <v>120.5</v>
      </c>
      <c r="D2129" t="n">
        <v>95</v>
      </c>
    </row>
    <row r="2130">
      <c r="A2130" t="n">
        <v>83741</v>
      </c>
      <c r="B2130" t="inlineStr">
        <is>
          <t>羅昇一</t>
        </is>
      </c>
      <c r="C2130" t="n">
        <v>122</v>
      </c>
      <c r="D2130" t="n">
        <v>93</v>
      </c>
    </row>
    <row r="2131">
      <c r="A2131" t="n">
        <v>83742</v>
      </c>
      <c r="B2131" t="inlineStr">
        <is>
          <t>羅昇二</t>
        </is>
      </c>
      <c r="C2131" t="n">
        <v>120</v>
      </c>
      <c r="D2131" t="n">
        <v>92.05</v>
      </c>
      <c r="F2131" s="208" t="inlineStr"/>
    </row>
    <row r="2132">
      <c r="A2132" t="n">
        <v>83831</v>
      </c>
      <c r="B2132" t="inlineStr">
        <is>
          <t>千附一</t>
        </is>
      </c>
      <c r="C2132" t="n">
        <v>182</v>
      </c>
      <c r="D2132" t="n">
        <v>101.95</v>
      </c>
    </row>
    <row r="2133">
      <c r="A2133" t="n">
        <v>83901</v>
      </c>
      <c r="B2133" t="inlineStr">
        <is>
          <t>金益一</t>
        </is>
      </c>
      <c r="C2133" t="n">
        <v>121</v>
      </c>
      <c r="D2133" t="n">
        <v>98.8</v>
      </c>
    </row>
    <row r="2134">
      <c r="A2134" t="n">
        <v>83902</v>
      </c>
      <c r="B2134" t="inlineStr">
        <is>
          <t>金益二</t>
        </is>
      </c>
      <c r="C2134" t="n">
        <v>120</v>
      </c>
      <c r="D2134" t="n">
        <v>101</v>
      </c>
    </row>
    <row r="2135">
      <c r="A2135" t="n">
        <v>83903</v>
      </c>
      <c r="B2135" t="inlineStr">
        <is>
          <t>金益三</t>
        </is>
      </c>
      <c r="C2135" t="n">
        <v>127.1</v>
      </c>
      <c r="D2135" t="n">
        <v>98.90000000000001</v>
      </c>
    </row>
    <row r="2136">
      <c r="A2136" t="n">
        <v>83904</v>
      </c>
      <c r="B2136" t="inlineStr">
        <is>
          <t>金益四</t>
        </is>
      </c>
      <c r="C2136" t="n">
        <v>107.9</v>
      </c>
      <c r="D2136" t="n">
        <v>99.90000000000001</v>
      </c>
    </row>
    <row r="2137">
      <c r="A2137" t="n">
        <v>83905</v>
      </c>
      <c r="B2137" t="inlineStr">
        <is>
          <t>金益鼎五</t>
        </is>
      </c>
      <c r="C2137" t="n">
        <v>190</v>
      </c>
      <c r="D2137" t="n">
        <v>104.5</v>
      </c>
    </row>
    <row r="2138">
      <c r="A2138" t="n">
        <v>84011</v>
      </c>
      <c r="B2138" t="inlineStr">
        <is>
          <t>白紗一</t>
        </is>
      </c>
      <c r="C2138" t="n">
        <v>150</v>
      </c>
      <c r="D2138" t="n">
        <v>100.5</v>
      </c>
    </row>
    <row r="2139">
      <c r="A2139" t="n">
        <v>84031</v>
      </c>
      <c r="B2139" t="inlineStr">
        <is>
          <t>盛弘一</t>
        </is>
      </c>
      <c r="C2139" t="n">
        <v>211</v>
      </c>
      <c r="D2139" t="n">
        <v>106.6</v>
      </c>
    </row>
    <row r="2140">
      <c r="A2140" t="n">
        <v>84032</v>
      </c>
      <c r="B2140" t="inlineStr">
        <is>
          <t>盛弘二</t>
        </is>
      </c>
      <c r="C2140" t="n">
        <v>155</v>
      </c>
      <c r="D2140" t="n">
        <v>101</v>
      </c>
    </row>
    <row r="2141">
      <c r="A2141" t="n">
        <v>84033</v>
      </c>
      <c r="B2141" t="inlineStr">
        <is>
          <t>盛弘三</t>
        </is>
      </c>
      <c r="C2141" t="n">
        <v>153</v>
      </c>
      <c r="D2141" t="n">
        <v>99.75</v>
      </c>
    </row>
    <row r="2142">
      <c r="A2142" t="n">
        <v>84041</v>
      </c>
      <c r="B2142" t="inlineStr">
        <is>
          <t>百和興業一KY</t>
        </is>
      </c>
      <c r="C2142" t="n">
        <v>123.4</v>
      </c>
      <c r="D2142" t="n">
        <v>100.1</v>
      </c>
      <c r="E2142" t="inlineStr">
        <is>
          <t>L</t>
        </is>
      </c>
      <c r="F2142" s="208" t="n">
        <v>-0.0009980039920160532</v>
      </c>
    </row>
    <row r="2143">
      <c r="A2143" t="n">
        <v>84061</v>
      </c>
      <c r="B2143" t="inlineStr">
        <is>
          <t>金可一KY</t>
        </is>
      </c>
      <c r="C2143" t="n">
        <v>129.9</v>
      </c>
      <c r="D2143" t="n">
        <v>95.7</v>
      </c>
    </row>
    <row r="2144">
      <c r="A2144" t="n">
        <v>84111</v>
      </c>
      <c r="B2144" t="inlineStr">
        <is>
          <t>福貞一KY</t>
        </is>
      </c>
      <c r="C2144" t="n">
        <v>109</v>
      </c>
      <c r="D2144" t="n">
        <v>99</v>
      </c>
    </row>
    <row r="2145">
      <c r="A2145" t="n">
        <v>84112</v>
      </c>
      <c r="B2145" t="inlineStr">
        <is>
          <t>福貞二KY</t>
        </is>
      </c>
      <c r="C2145" t="n">
        <v>102.7</v>
      </c>
      <c r="D2145" t="n">
        <v>89.09999999999999</v>
      </c>
    </row>
    <row r="2146">
      <c r="A2146" t="n">
        <v>84113</v>
      </c>
      <c r="B2146" t="inlineStr">
        <is>
          <t>福貞三KY</t>
        </is>
      </c>
      <c r="C2146" t="n">
        <v>102.3</v>
      </c>
      <c r="D2146" t="n">
        <v>99.3</v>
      </c>
    </row>
    <row r="2147">
      <c r="A2147" t="n">
        <v>84201</v>
      </c>
      <c r="B2147" t="inlineStr">
        <is>
          <t>明揚一</t>
        </is>
      </c>
      <c r="C2147" t="n">
        <v>148.9</v>
      </c>
      <c r="D2147" t="n">
        <v>90.3</v>
      </c>
    </row>
    <row r="2148">
      <c r="A2148" t="n">
        <v>84211</v>
      </c>
      <c r="B2148" t="inlineStr">
        <is>
          <t>旭源一</t>
        </is>
      </c>
      <c r="C2148" t="n">
        <v>159</v>
      </c>
      <c r="D2148" t="n">
        <v>100</v>
      </c>
    </row>
    <row r="2149">
      <c r="A2149" t="n">
        <v>84221</v>
      </c>
      <c r="B2149" t="inlineStr">
        <is>
          <t>可寧衛一</t>
        </is>
      </c>
      <c r="C2149" t="n">
        <v>354</v>
      </c>
      <c r="D2149" t="n">
        <v>102.7</v>
      </c>
    </row>
    <row r="2150">
      <c r="A2150" t="n">
        <v>84222</v>
      </c>
      <c r="B2150" t="inlineStr">
        <is>
          <t>可寧衛二</t>
        </is>
      </c>
      <c r="C2150" t="n">
        <v>272</v>
      </c>
      <c r="D2150" t="n">
        <v>96.3</v>
      </c>
    </row>
    <row r="2151">
      <c r="A2151" t="n">
        <v>84291</v>
      </c>
      <c r="B2151" t="inlineStr">
        <is>
          <t>金麗一KY</t>
        </is>
      </c>
      <c r="C2151" t="n">
        <v>109.75</v>
      </c>
      <c r="D2151" t="n">
        <v>88.2</v>
      </c>
    </row>
    <row r="2152">
      <c r="A2152" t="n">
        <v>84311</v>
      </c>
      <c r="B2152" t="inlineStr">
        <is>
          <t>匯鑽科一</t>
        </is>
      </c>
      <c r="C2152" t="n">
        <v>163</v>
      </c>
      <c r="D2152" t="n">
        <v>99.2</v>
      </c>
    </row>
    <row r="2153">
      <c r="A2153" t="n">
        <v>84312</v>
      </c>
      <c r="B2153" t="inlineStr">
        <is>
          <t>匯鑽科二</t>
        </is>
      </c>
      <c r="C2153" t="n">
        <v>117</v>
      </c>
      <c r="D2153" t="n">
        <v>98</v>
      </c>
      <c r="E2153" t="inlineStr">
        <is>
          <t>L</t>
        </is>
      </c>
      <c r="F2153" s="208" t="n">
        <v>-0.01060070671378089</v>
      </c>
    </row>
    <row r="2154">
      <c r="A2154" t="n">
        <v>84331</v>
      </c>
      <c r="B2154" t="inlineStr">
        <is>
          <t>弘帆一</t>
        </is>
      </c>
      <c r="C2154" t="n">
        <v>147.85</v>
      </c>
      <c r="D2154" t="n">
        <v>98.95</v>
      </c>
    </row>
    <row r="2155">
      <c r="A2155" t="n">
        <v>84332</v>
      </c>
      <c r="B2155" t="inlineStr">
        <is>
          <t>弘帆二</t>
        </is>
      </c>
      <c r="C2155" t="n">
        <v>118.5</v>
      </c>
      <c r="D2155" t="n">
        <v>96.65000000000001</v>
      </c>
    </row>
    <row r="2156">
      <c r="A2156" t="n">
        <v>84333</v>
      </c>
      <c r="B2156" t="inlineStr">
        <is>
          <t>弘帆三</t>
        </is>
      </c>
      <c r="C2156" t="n">
        <v>111.5</v>
      </c>
      <c r="D2156" t="n">
        <v>96</v>
      </c>
    </row>
    <row r="2157">
      <c r="A2157" t="n">
        <v>84361</v>
      </c>
      <c r="B2157" t="inlineStr">
        <is>
          <t>大江一</t>
        </is>
      </c>
      <c r="C2157" t="n">
        <v>273</v>
      </c>
      <c r="D2157" t="n">
        <v>110.5</v>
      </c>
    </row>
    <row r="2158">
      <c r="A2158" t="n">
        <v>84362</v>
      </c>
      <c r="B2158" t="inlineStr">
        <is>
          <t>大江二</t>
        </is>
      </c>
      <c r="C2158" t="n">
        <v>164</v>
      </c>
      <c r="D2158" t="n">
        <v>100</v>
      </c>
    </row>
    <row r="2159">
      <c r="A2159" t="n">
        <v>84371</v>
      </c>
      <c r="B2159" t="inlineStr">
        <is>
          <t>大地一KY</t>
        </is>
      </c>
      <c r="C2159" t="n">
        <v>208</v>
      </c>
      <c r="D2159" t="n">
        <v>109.05</v>
      </c>
    </row>
    <row r="2160">
      <c r="A2160" t="n">
        <v>84372</v>
      </c>
      <c r="B2160" t="inlineStr">
        <is>
          <t>大地二KY</t>
        </is>
      </c>
      <c r="C2160" t="n">
        <v>202</v>
      </c>
      <c r="D2160" t="n">
        <v>107.6</v>
      </c>
    </row>
    <row r="2161">
      <c r="A2161" t="n">
        <v>84421</v>
      </c>
      <c r="B2161" t="inlineStr">
        <is>
          <t>威宏一KY</t>
        </is>
      </c>
      <c r="C2161" t="n">
        <v>210</v>
      </c>
      <c r="D2161" t="n">
        <v>110.6</v>
      </c>
    </row>
    <row r="2162">
      <c r="A2162" t="n">
        <v>84422</v>
      </c>
      <c r="B2162" t="inlineStr">
        <is>
          <t>威宏二KY</t>
        </is>
      </c>
      <c r="C2162" t="n">
        <v>158</v>
      </c>
      <c r="D2162" t="n">
        <v>99.3</v>
      </c>
      <c r="E2162" t="inlineStr">
        <is>
          <t>L</t>
        </is>
      </c>
      <c r="F2162" s="208" t="n">
        <v>-0.004511278195488751</v>
      </c>
    </row>
    <row r="2163">
      <c r="A2163" t="n">
        <v>84501</v>
      </c>
      <c r="B2163" t="inlineStr">
        <is>
          <t>霹靂一</t>
        </is>
      </c>
      <c r="C2163" t="n">
        <v>149.5</v>
      </c>
      <c r="D2163" t="n">
        <v>85.05</v>
      </c>
    </row>
    <row r="2164">
      <c r="A2164" t="n">
        <v>84621</v>
      </c>
      <c r="B2164" t="inlineStr">
        <is>
          <t>柏文一</t>
        </is>
      </c>
      <c r="C2164" t="n">
        <v>259</v>
      </c>
      <c r="D2164" t="n">
        <v>104.1</v>
      </c>
    </row>
    <row r="2165">
      <c r="A2165" t="n">
        <v>84622</v>
      </c>
      <c r="B2165" t="inlineStr">
        <is>
          <t>柏文二</t>
        </is>
      </c>
      <c r="C2165" t="n">
        <v>129.9</v>
      </c>
      <c r="D2165" t="n">
        <v>99.8</v>
      </c>
    </row>
    <row r="2166">
      <c r="A2166" t="n">
        <v>84623</v>
      </c>
      <c r="B2166" t="inlineStr">
        <is>
          <t>柏文三</t>
        </is>
      </c>
      <c r="C2166" t="n">
        <v>133</v>
      </c>
      <c r="D2166" t="n">
        <v>99.5</v>
      </c>
    </row>
    <row r="2167">
      <c r="A2167" t="n">
        <v>84661</v>
      </c>
      <c r="B2167" t="inlineStr">
        <is>
          <t>美吉吉一KY</t>
        </is>
      </c>
      <c r="C2167" t="n">
        <v>105.8</v>
      </c>
      <c r="D2167" t="n">
        <v>95.8</v>
      </c>
    </row>
    <row r="2168">
      <c r="A2168" t="n">
        <v>84662</v>
      </c>
      <c r="B2168" t="inlineStr">
        <is>
          <t>美吉吉二KY</t>
        </is>
      </c>
      <c r="C2168" t="n">
        <v>132</v>
      </c>
      <c r="D2168" t="n">
        <v>92.09999999999999</v>
      </c>
    </row>
    <row r="2169">
      <c r="A2169" t="n">
        <v>84671</v>
      </c>
      <c r="B2169" t="inlineStr">
        <is>
          <t>波力一KY</t>
        </is>
      </c>
      <c r="C2169" t="n">
        <v>117</v>
      </c>
      <c r="D2169" t="n">
        <v>100.6</v>
      </c>
    </row>
    <row r="2170">
      <c r="A2170" t="n">
        <v>84672</v>
      </c>
      <c r="B2170" t="inlineStr">
        <is>
          <t>波力二KY</t>
        </is>
      </c>
      <c r="C2170" t="n">
        <v>178</v>
      </c>
      <c r="D2170" t="n">
        <v>106.5</v>
      </c>
      <c r="F2170" s="208" t="inlineStr"/>
    </row>
    <row r="2171">
      <c r="A2171" t="n">
        <v>84673</v>
      </c>
      <c r="B2171" t="inlineStr">
        <is>
          <t>波力三KY</t>
        </is>
      </c>
      <c r="C2171" t="n">
        <v>146</v>
      </c>
      <c r="D2171" t="n">
        <v>100</v>
      </c>
    </row>
    <row r="2172">
      <c r="A2172" t="n">
        <v>84731</v>
      </c>
      <c r="B2172" t="inlineStr">
        <is>
          <t>山林水一</t>
        </is>
      </c>
      <c r="C2172" t="n">
        <v>107</v>
      </c>
      <c r="D2172" t="n">
        <v>97</v>
      </c>
    </row>
    <row r="2173">
      <c r="A2173" t="n">
        <v>84732</v>
      </c>
      <c r="B2173" t="inlineStr">
        <is>
          <t>山林水二</t>
        </is>
      </c>
      <c r="C2173" t="n">
        <v>162</v>
      </c>
      <c r="D2173" t="n">
        <v>92.95</v>
      </c>
    </row>
    <row r="2174">
      <c r="A2174" t="n">
        <v>84761</v>
      </c>
      <c r="B2174" t="inlineStr">
        <is>
          <t>台境一</t>
        </is>
      </c>
      <c r="C2174" t="n">
        <v>119.5</v>
      </c>
      <c r="D2174" t="n">
        <v>99.65000000000001</v>
      </c>
    </row>
    <row r="2175">
      <c r="A2175" t="n">
        <v>84781</v>
      </c>
      <c r="B2175" t="inlineStr">
        <is>
          <t>東哥遊艇一</t>
        </is>
      </c>
      <c r="C2175" t="n">
        <v>121.85</v>
      </c>
      <c r="D2175" t="n">
        <v>90</v>
      </c>
    </row>
    <row r="2176">
      <c r="A2176" t="n">
        <v>84881</v>
      </c>
      <c r="B2176" t="inlineStr">
        <is>
          <t>吉源一KY</t>
        </is>
      </c>
      <c r="C2176" t="n">
        <v>116.95</v>
      </c>
      <c r="D2176" t="n">
        <v>98.3</v>
      </c>
    </row>
    <row r="2177">
      <c r="A2177" t="n">
        <v>84891</v>
      </c>
      <c r="B2177" t="inlineStr">
        <is>
          <t>三貝德一</t>
        </is>
      </c>
      <c r="C2177" t="n">
        <v>186</v>
      </c>
      <c r="D2177" t="n">
        <v>106.2</v>
      </c>
    </row>
    <row r="2178">
      <c r="A2178" t="n">
        <v>84991</v>
      </c>
      <c r="B2178" t="inlineStr">
        <is>
          <t>鼎炫一KY</t>
        </is>
      </c>
      <c r="C2178" t="n">
        <v>135.5</v>
      </c>
      <c r="D2178" t="n">
        <v>98</v>
      </c>
    </row>
    <row r="2179">
      <c r="A2179" t="n">
        <v>89161</v>
      </c>
      <c r="B2179" t="inlineStr">
        <is>
          <t>光隆一</t>
        </is>
      </c>
      <c r="C2179" t="n">
        <v>121</v>
      </c>
      <c r="D2179" t="n">
        <v>101</v>
      </c>
    </row>
    <row r="2180">
      <c r="A2180" t="n">
        <v>89241</v>
      </c>
      <c r="B2180" t="inlineStr">
        <is>
          <t>大田一</t>
        </is>
      </c>
      <c r="C2180" t="n">
        <v>210</v>
      </c>
      <c r="D2180" t="n">
        <v>115</v>
      </c>
    </row>
    <row r="2181">
      <c r="A2181" t="n">
        <v>89251</v>
      </c>
      <c r="B2181" t="inlineStr">
        <is>
          <t>偉盟一</t>
        </is>
      </c>
      <c r="C2181" t="n">
        <v>160</v>
      </c>
      <c r="D2181" t="n">
        <v>95</v>
      </c>
    </row>
    <row r="2182">
      <c r="A2182" t="n">
        <v>89252</v>
      </c>
      <c r="B2182" t="inlineStr">
        <is>
          <t>偉盟二</t>
        </is>
      </c>
      <c r="C2182" t="n">
        <v>183</v>
      </c>
      <c r="D2182" t="n">
        <v>91</v>
      </c>
    </row>
    <row r="2183">
      <c r="A2183" t="n">
        <v>89253</v>
      </c>
      <c r="B2183" t="inlineStr">
        <is>
          <t>偉盟三</t>
        </is>
      </c>
      <c r="C2183" t="n">
        <v>131</v>
      </c>
      <c r="D2183" t="n">
        <v>79</v>
      </c>
    </row>
    <row r="2184">
      <c r="A2184" t="n">
        <v>89254</v>
      </c>
      <c r="B2184" t="inlineStr">
        <is>
          <t>偉盟四</t>
        </is>
      </c>
      <c r="C2184" t="n">
        <v>140</v>
      </c>
      <c r="D2184" t="n">
        <v>50.1</v>
      </c>
    </row>
    <row r="2185">
      <c r="A2185" t="n">
        <v>89255</v>
      </c>
      <c r="B2185" t="inlineStr">
        <is>
          <t>偉盟五</t>
        </is>
      </c>
      <c r="C2185" t="n">
        <v>101.8</v>
      </c>
      <c r="D2185" t="n">
        <v>84.5</v>
      </c>
    </row>
    <row r="2186">
      <c r="A2186" t="n">
        <v>89261</v>
      </c>
      <c r="B2186" t="inlineStr">
        <is>
          <t>台汽一</t>
        </is>
      </c>
      <c r="C2186" t="n">
        <v>165</v>
      </c>
      <c r="D2186" t="n">
        <v>103</v>
      </c>
    </row>
    <row r="2187">
      <c r="A2187" t="n">
        <v>89271</v>
      </c>
      <c r="B2187" t="inlineStr">
        <is>
          <t>北基一</t>
        </is>
      </c>
      <c r="C2187" t="n">
        <v>181</v>
      </c>
      <c r="D2187" t="n">
        <v>107</v>
      </c>
    </row>
    <row r="2188">
      <c r="A2188" t="n">
        <v>89272</v>
      </c>
      <c r="B2188" t="inlineStr">
        <is>
          <t>北基二</t>
        </is>
      </c>
      <c r="C2188" t="n">
        <v>115</v>
      </c>
      <c r="D2188" t="n">
        <v>101</v>
      </c>
    </row>
    <row r="2189">
      <c r="A2189" t="n">
        <v>89273</v>
      </c>
      <c r="B2189" t="inlineStr">
        <is>
          <t>北基三</t>
        </is>
      </c>
      <c r="C2189" t="n">
        <v>118.1</v>
      </c>
      <c r="D2189" t="n">
        <v>99.5</v>
      </c>
    </row>
    <row r="2190">
      <c r="A2190" t="n">
        <v>89274</v>
      </c>
      <c r="B2190" t="inlineStr">
        <is>
          <t>北基四</t>
        </is>
      </c>
      <c r="C2190" t="n">
        <v>118</v>
      </c>
      <c r="D2190" t="n">
        <v>96.55</v>
      </c>
    </row>
    <row r="2191">
      <c r="A2191" t="n">
        <v>89275</v>
      </c>
      <c r="B2191" t="inlineStr">
        <is>
          <t>北基五</t>
        </is>
      </c>
      <c r="C2191" t="n">
        <v>416</v>
      </c>
      <c r="D2191" t="n">
        <v>112.2</v>
      </c>
    </row>
    <row r="2192">
      <c r="A2192" t="n">
        <v>89276</v>
      </c>
      <c r="B2192" t="inlineStr">
        <is>
          <t>北基六</t>
        </is>
      </c>
      <c r="C2192" t="n">
        <v>272</v>
      </c>
      <c r="D2192" t="n">
        <v>98.2</v>
      </c>
    </row>
    <row r="2193">
      <c r="A2193" t="n">
        <v>89277</v>
      </c>
      <c r="B2193" t="inlineStr">
        <is>
          <t>北基七</t>
        </is>
      </c>
      <c r="C2193" t="n">
        <v>136</v>
      </c>
      <c r="D2193" t="n">
        <v>100.75</v>
      </c>
    </row>
    <row r="2194">
      <c r="A2194" t="n">
        <v>89278</v>
      </c>
      <c r="B2194" t="inlineStr">
        <is>
          <t>北基八</t>
        </is>
      </c>
      <c r="C2194" t="n">
        <v>133.1</v>
      </c>
      <c r="D2194" t="n">
        <v>91.05</v>
      </c>
    </row>
    <row r="2195">
      <c r="A2195" t="n">
        <v>89281</v>
      </c>
      <c r="B2195" t="inlineStr">
        <is>
          <t>鉅明一</t>
        </is>
      </c>
      <c r="C2195" t="n">
        <v>110</v>
      </c>
      <c r="D2195" t="n">
        <v>96</v>
      </c>
    </row>
    <row r="2196">
      <c r="A2196" t="n">
        <v>89291</v>
      </c>
      <c r="B2196" t="inlineStr">
        <is>
          <t>富堡一</t>
        </is>
      </c>
      <c r="C2196" t="n">
        <v>159</v>
      </c>
      <c r="D2196" t="n">
        <v>101</v>
      </c>
    </row>
    <row r="2197">
      <c r="A2197" t="n">
        <v>89301</v>
      </c>
      <c r="B2197" t="inlineStr">
        <is>
          <t>青鋼一</t>
        </is>
      </c>
      <c r="C2197" t="n">
        <v>139</v>
      </c>
      <c r="D2197" t="n">
        <v>65</v>
      </c>
    </row>
    <row r="2198">
      <c r="A2198" t="n">
        <v>89302</v>
      </c>
      <c r="B2198" t="inlineStr">
        <is>
          <t>青鋼二</t>
        </is>
      </c>
      <c r="C2198" t="n">
        <v>138</v>
      </c>
      <c r="D2198" t="n">
        <v>100.1</v>
      </c>
    </row>
    <row r="2199">
      <c r="A2199" t="n">
        <v>89321</v>
      </c>
      <c r="B2199" t="inlineStr">
        <is>
          <t>宏大一</t>
        </is>
      </c>
      <c r="C2199" t="n">
        <v>681</v>
      </c>
      <c r="D2199" t="n">
        <v>116</v>
      </c>
    </row>
    <row r="2200">
      <c r="A2200" t="n">
        <v>89331</v>
      </c>
      <c r="B2200" t="inlineStr">
        <is>
          <t>愛地雅一</t>
        </is>
      </c>
      <c r="C2200" t="n">
        <v>146</v>
      </c>
      <c r="D2200" t="n">
        <v>95</v>
      </c>
    </row>
    <row r="2201">
      <c r="A2201" t="n">
        <v>89332</v>
      </c>
      <c r="B2201" t="inlineStr">
        <is>
          <t>愛地雅二</t>
        </is>
      </c>
      <c r="C2201" t="n">
        <v>128</v>
      </c>
      <c r="D2201" t="n">
        <v>99.75</v>
      </c>
    </row>
    <row r="2202">
      <c r="A2202" t="n">
        <v>89333</v>
      </c>
      <c r="B2202" t="inlineStr">
        <is>
          <t>愛地雅三</t>
        </is>
      </c>
      <c r="C2202" t="n">
        <v>123.5</v>
      </c>
      <c r="D2202" t="n">
        <v>91.5</v>
      </c>
    </row>
    <row r="2203">
      <c r="A2203" t="n">
        <v>89334</v>
      </c>
      <c r="B2203" t="inlineStr">
        <is>
          <t>愛地雅四</t>
        </is>
      </c>
      <c r="C2203" t="n">
        <v>141.15</v>
      </c>
      <c r="D2203" t="n">
        <v>99.7</v>
      </c>
    </row>
    <row r="2204">
      <c r="A2204" t="n">
        <v>89335</v>
      </c>
      <c r="B2204" t="inlineStr">
        <is>
          <t>愛地雅五</t>
        </is>
      </c>
      <c r="C2204" t="n">
        <v>180</v>
      </c>
      <c r="D2204" t="n">
        <v>72</v>
      </c>
    </row>
    <row r="2205">
      <c r="A2205" t="n">
        <v>89351</v>
      </c>
      <c r="B2205" t="inlineStr">
        <is>
          <t>邦泰一</t>
        </is>
      </c>
      <c r="C2205" t="n">
        <v>182</v>
      </c>
      <c r="D2205" t="n">
        <v>103</v>
      </c>
    </row>
    <row r="2206">
      <c r="A2206" t="n">
        <v>89352</v>
      </c>
      <c r="B2206" t="inlineStr">
        <is>
          <t>邦泰二</t>
        </is>
      </c>
      <c r="C2206" t="n">
        <v>182</v>
      </c>
      <c r="D2206" t="n">
        <v>77.5</v>
      </c>
    </row>
    <row r="2207">
      <c r="A2207" t="n">
        <v>89361</v>
      </c>
      <c r="B2207" t="inlineStr">
        <is>
          <t>國統一</t>
        </is>
      </c>
      <c r="C2207" t="n">
        <v>105</v>
      </c>
      <c r="D2207" t="n">
        <v>99</v>
      </c>
    </row>
    <row r="2208">
      <c r="A2208" t="n">
        <v>89362</v>
      </c>
      <c r="B2208" t="inlineStr">
        <is>
          <t>國統二</t>
        </is>
      </c>
      <c r="C2208" t="n">
        <v>188</v>
      </c>
      <c r="D2208" t="n">
        <v>80</v>
      </c>
    </row>
    <row r="2209">
      <c r="A2209" t="n">
        <v>89363</v>
      </c>
      <c r="B2209" t="inlineStr">
        <is>
          <t>國統三</t>
        </is>
      </c>
      <c r="C2209" t="n">
        <v>194</v>
      </c>
      <c r="D2209" t="n">
        <v>101</v>
      </c>
    </row>
    <row r="2210">
      <c r="A2210" t="n">
        <v>89364</v>
      </c>
      <c r="B2210" t="inlineStr">
        <is>
          <t>國統四</t>
        </is>
      </c>
      <c r="C2210" t="n">
        <v>120</v>
      </c>
      <c r="D2210" t="n">
        <v>101.5</v>
      </c>
    </row>
    <row r="2211">
      <c r="A2211" t="n">
        <v>89381</v>
      </c>
      <c r="B2211" t="inlineStr">
        <is>
          <t>明安一</t>
        </is>
      </c>
      <c r="C2211" t="n">
        <v>207</v>
      </c>
      <c r="D2211" t="n">
        <v>100.1</v>
      </c>
    </row>
    <row r="2212">
      <c r="A2212" t="n">
        <v>89382</v>
      </c>
      <c r="B2212" t="inlineStr">
        <is>
          <t>明安二</t>
        </is>
      </c>
      <c r="C2212" t="n">
        <v>267</v>
      </c>
      <c r="D2212" t="n">
        <v>105</v>
      </c>
    </row>
    <row r="2213">
      <c r="A2213" t="n">
        <v>89383</v>
      </c>
      <c r="B2213" t="inlineStr">
        <is>
          <t>明安三</t>
        </is>
      </c>
      <c r="C2213" t="n">
        <v>145</v>
      </c>
      <c r="D2213" t="n">
        <v>99.59999999999999</v>
      </c>
    </row>
    <row r="2214">
      <c r="A2214" t="n">
        <v>89411</v>
      </c>
      <c r="B2214" t="inlineStr">
        <is>
          <t>關中一</t>
        </is>
      </c>
      <c r="C2214" t="n">
        <v>176</v>
      </c>
      <c r="D2214" t="n">
        <v>97</v>
      </c>
    </row>
    <row r="2215">
      <c r="A2215" t="n">
        <v>89421</v>
      </c>
      <c r="B2215" t="inlineStr">
        <is>
          <t>森鉅一</t>
        </is>
      </c>
      <c r="C2215" t="n">
        <v>321</v>
      </c>
      <c r="D2215" t="n">
        <v>107</v>
      </c>
    </row>
    <row r="2216">
      <c r="A2216" t="n">
        <v>89422</v>
      </c>
      <c r="B2216" t="inlineStr">
        <is>
          <t>森鉅二</t>
        </is>
      </c>
      <c r="C2216" t="n">
        <v>141.9</v>
      </c>
      <c r="D2216" t="n">
        <v>75</v>
      </c>
    </row>
    <row r="2217">
      <c r="A2217" t="n">
        <v>89423</v>
      </c>
      <c r="B2217" t="inlineStr">
        <is>
          <t>森鉅三</t>
        </is>
      </c>
      <c r="C2217" t="n">
        <v>236</v>
      </c>
      <c r="D2217" t="n">
        <v>107</v>
      </c>
    </row>
    <row r="2218">
      <c r="A2218" t="n">
        <v>89424</v>
      </c>
      <c r="B2218" t="inlineStr">
        <is>
          <t>森鉅四</t>
        </is>
      </c>
      <c r="C2218" t="n">
        <v>188</v>
      </c>
      <c r="D2218" t="n">
        <v>102</v>
      </c>
    </row>
    <row r="2219">
      <c r="A2219" t="n">
        <v>89961</v>
      </c>
      <c r="B2219" t="inlineStr">
        <is>
          <t>高力一</t>
        </is>
      </c>
      <c r="C2219" t="n">
        <v>246</v>
      </c>
      <c r="D2219" t="n">
        <v>85</v>
      </c>
    </row>
    <row r="2220">
      <c r="A2220" t="n">
        <v>89962</v>
      </c>
      <c r="B2220" t="inlineStr">
        <is>
          <t>高力二</t>
        </is>
      </c>
      <c r="C2220" t="n">
        <v>151</v>
      </c>
      <c r="D2220" t="n">
        <v>103</v>
      </c>
    </row>
    <row r="2221">
      <c r="A2221" t="n">
        <v>89963</v>
      </c>
      <c r="B2221" t="inlineStr">
        <is>
          <t>高力三</t>
        </is>
      </c>
      <c r="C2221" t="n">
        <v>120.5</v>
      </c>
      <c r="D2221" t="n">
        <v>99.5</v>
      </c>
    </row>
    <row r="2222">
      <c r="A2222" t="n">
        <v>89964</v>
      </c>
      <c r="B2222" t="inlineStr">
        <is>
          <t>高力四</t>
        </is>
      </c>
      <c r="C2222" t="n">
        <v>510</v>
      </c>
      <c r="D2222" t="n">
        <v>107</v>
      </c>
      <c r="E2222" t="inlineStr">
        <is>
          <t>H</t>
        </is>
      </c>
      <c r="F2222" s="208" t="n">
        <v>0.01796407185628742</v>
      </c>
    </row>
    <row r="2223">
      <c r="A2223" t="n">
        <v>98021</v>
      </c>
      <c r="B2223" t="inlineStr">
        <is>
          <t>鈺齊一KY</t>
        </is>
      </c>
      <c r="C2223" t="n">
        <v>243</v>
      </c>
      <c r="D2223" t="n">
        <v>104.05</v>
      </c>
    </row>
    <row r="2224">
      <c r="A2224" t="n">
        <v>98022</v>
      </c>
      <c r="B2224" t="inlineStr">
        <is>
          <t>鈺齊二KY</t>
        </is>
      </c>
      <c r="C2224" t="n">
        <v>251</v>
      </c>
      <c r="D2224" t="n">
        <v>100.8</v>
      </c>
    </row>
    <row r="2225">
      <c r="A2225" t="n">
        <v>98023</v>
      </c>
      <c r="B2225" t="inlineStr">
        <is>
          <t>鈺齊三KY</t>
        </is>
      </c>
      <c r="C2225" t="n">
        <v>174</v>
      </c>
      <c r="D2225" t="n">
        <v>99.2</v>
      </c>
    </row>
    <row r="2226">
      <c r="A2226" t="n">
        <v>98024</v>
      </c>
      <c r="B2226" t="inlineStr">
        <is>
          <t>鈺齊四KY</t>
        </is>
      </c>
      <c r="C2226" t="n">
        <v>293</v>
      </c>
      <c r="D2226" t="n">
        <v>102</v>
      </c>
    </row>
    <row r="2227">
      <c r="A2227" t="n">
        <v>98025</v>
      </c>
      <c r="B2227" t="inlineStr">
        <is>
          <t>鈺齊五KY</t>
        </is>
      </c>
      <c r="C2227" t="n">
        <v>192</v>
      </c>
      <c r="D2227" t="n">
        <v>112</v>
      </c>
    </row>
    <row r="2228">
      <c r="A2228" t="n">
        <v>98026</v>
      </c>
      <c r="B2228" t="inlineStr">
        <is>
          <t>鈺齊六KY</t>
        </is>
      </c>
      <c r="C2228" t="n">
        <v>142.7</v>
      </c>
      <c r="D2228" t="n">
        <v>101.05</v>
      </c>
      <c r="E2228" t="inlineStr">
        <is>
          <t>L</t>
        </is>
      </c>
      <c r="F2228" s="208" t="n">
        <v>-0.01702334630350195</v>
      </c>
    </row>
    <row r="2229">
      <c r="A2229" t="n">
        <v>99061</v>
      </c>
      <c r="B2229" t="inlineStr">
        <is>
          <t>欣巴巴一</t>
        </is>
      </c>
      <c r="C2229" t="n">
        <v>454</v>
      </c>
      <c r="D2229" t="n">
        <v>111.2</v>
      </c>
    </row>
    <row r="2230">
      <c r="A2230" t="n">
        <v>99062</v>
      </c>
      <c r="B2230" t="inlineStr">
        <is>
          <t>欣巴巴二</t>
        </is>
      </c>
      <c r="C2230" t="n">
        <v>247</v>
      </c>
      <c r="D2230" t="n">
        <v>110</v>
      </c>
    </row>
    <row r="2231">
      <c r="A2231" t="n">
        <v>99063</v>
      </c>
      <c r="B2231" t="inlineStr">
        <is>
          <t>欣巴巴三</t>
        </is>
      </c>
      <c r="C2231" t="n">
        <v>108</v>
      </c>
      <c r="D2231" t="n">
        <v>91</v>
      </c>
    </row>
    <row r="2232">
      <c r="A2232" t="n">
        <v>99211</v>
      </c>
      <c r="B2232" t="inlineStr">
        <is>
          <t>巨大一</t>
        </is>
      </c>
      <c r="C2232" t="n">
        <v>109.8</v>
      </c>
      <c r="D2232" t="n">
        <v>95.2</v>
      </c>
    </row>
    <row r="2233">
      <c r="A2233" t="n">
        <v>99242</v>
      </c>
      <c r="B2233" t="inlineStr">
        <is>
          <t>福興二</t>
        </is>
      </c>
      <c r="C2233" t="n">
        <v>230</v>
      </c>
      <c r="D2233" t="n">
        <v>138</v>
      </c>
    </row>
    <row r="2234">
      <c r="A2234" t="n">
        <v>99271</v>
      </c>
      <c r="B2234" t="inlineStr">
        <is>
          <t>泰銘一</t>
        </is>
      </c>
      <c r="C2234" t="n">
        <v>165</v>
      </c>
      <c r="D2234" t="n">
        <v>95.5</v>
      </c>
    </row>
    <row r="2235">
      <c r="A2235" t="n">
        <v>99272</v>
      </c>
      <c r="B2235" t="inlineStr">
        <is>
          <t>泰銘二</t>
        </is>
      </c>
      <c r="C2235" t="n">
        <v>168</v>
      </c>
      <c r="D2235" t="n">
        <v>106.4</v>
      </c>
    </row>
    <row r="2236">
      <c r="A2236" t="n">
        <v>99331</v>
      </c>
      <c r="B2236" t="inlineStr">
        <is>
          <t>中鼎一</t>
        </is>
      </c>
      <c r="C2236" t="n">
        <v>154</v>
      </c>
      <c r="D2236" t="n">
        <v>86</v>
      </c>
    </row>
    <row r="2237">
      <c r="A2237" t="n">
        <v>99332</v>
      </c>
      <c r="B2237" t="inlineStr">
        <is>
          <t>中鼎二</t>
        </is>
      </c>
      <c r="C2237" t="n">
        <v>114.5</v>
      </c>
      <c r="D2237" t="n">
        <v>84.8</v>
      </c>
    </row>
    <row r="2238">
      <c r="A2238" t="n">
        <v>99341</v>
      </c>
      <c r="B2238" t="inlineStr">
        <is>
          <t>成霖一</t>
        </is>
      </c>
      <c r="C2238" t="n">
        <v>156</v>
      </c>
      <c r="D2238" t="n">
        <v>60</v>
      </c>
    </row>
    <row r="2239">
      <c r="A2239" t="n">
        <v>99342</v>
      </c>
      <c r="B2239" t="inlineStr">
        <is>
          <t>成霖二</t>
        </is>
      </c>
      <c r="C2239" t="n">
        <v>172</v>
      </c>
      <c r="D2239" t="n">
        <v>95</v>
      </c>
    </row>
    <row r="2240">
      <c r="A2240" t="n">
        <v>99351</v>
      </c>
      <c r="B2240" t="inlineStr">
        <is>
          <t>慶豐富一</t>
        </is>
      </c>
      <c r="C2240" t="n">
        <v>117</v>
      </c>
      <c r="D2240" t="n">
        <v>93.59999999999999</v>
      </c>
    </row>
    <row r="2241">
      <c r="A2241" t="n">
        <v>99352</v>
      </c>
      <c r="B2241" t="inlineStr">
        <is>
          <t>慶豐富二</t>
        </is>
      </c>
      <c r="C2241" t="n">
        <v>116</v>
      </c>
      <c r="D2241" t="n">
        <v>94</v>
      </c>
    </row>
    <row r="2242">
      <c r="A2242" t="n">
        <v>99353</v>
      </c>
      <c r="B2242" t="inlineStr">
        <is>
          <t>慶豐富三</t>
        </is>
      </c>
      <c r="C2242" t="n">
        <v>114</v>
      </c>
      <c r="D2242" t="n">
        <v>92.75</v>
      </c>
    </row>
    <row r="2243">
      <c r="A2243" t="n">
        <v>99381</v>
      </c>
      <c r="B2243" t="inlineStr">
        <is>
          <t>百和一</t>
        </is>
      </c>
      <c r="C2243" t="n">
        <v>258</v>
      </c>
      <c r="D2243" t="n">
        <v>98</v>
      </c>
    </row>
    <row r="2244">
      <c r="A2244" t="n">
        <v>99392</v>
      </c>
      <c r="B2244" t="inlineStr">
        <is>
          <t>宏全二</t>
        </is>
      </c>
      <c r="C2244" t="n">
        <v>114.15</v>
      </c>
      <c r="D2244" t="n">
        <v>100</v>
      </c>
    </row>
    <row r="2245">
      <c r="A2245" t="n">
        <v>99411</v>
      </c>
      <c r="B2245" t="inlineStr">
        <is>
          <t>裕融一</t>
        </is>
      </c>
      <c r="C2245" t="n">
        <v>134.5</v>
      </c>
      <c r="D2245" t="n">
        <v>100</v>
      </c>
    </row>
    <row r="2246">
      <c r="A2246" t="n">
        <v>99412</v>
      </c>
      <c r="B2246" t="inlineStr">
        <is>
          <t>裕融二</t>
        </is>
      </c>
      <c r="C2246" t="n">
        <v>102.5</v>
      </c>
      <c r="D2246" t="n">
        <v>93.3</v>
      </c>
    </row>
    <row r="2247">
      <c r="A2247" t="n">
        <v>99421</v>
      </c>
      <c r="B2247" t="inlineStr">
        <is>
          <t>茂順一</t>
        </is>
      </c>
      <c r="C2247" t="n">
        <v>168</v>
      </c>
      <c r="D2247" t="n">
        <v>97</v>
      </c>
    </row>
    <row r="2248">
      <c r="A2248" t="n">
        <v>99441</v>
      </c>
      <c r="B2248" t="inlineStr">
        <is>
          <t>新麗一</t>
        </is>
      </c>
      <c r="C2248" t="n">
        <v>148.7</v>
      </c>
      <c r="D2248" t="n">
        <v>100.45</v>
      </c>
    </row>
    <row r="2249">
      <c r="A2249" t="n">
        <v>99442</v>
      </c>
      <c r="B2249" t="inlineStr">
        <is>
          <t>新麗二</t>
        </is>
      </c>
      <c r="C2249" t="n">
        <v>288</v>
      </c>
      <c r="D2249" t="n">
        <v>99.75</v>
      </c>
    </row>
    <row r="2250">
      <c r="A2250" t="n">
        <v>99461</v>
      </c>
      <c r="B2250" t="inlineStr">
        <is>
          <t>三發一</t>
        </is>
      </c>
      <c r="C2250" t="n">
        <v>229</v>
      </c>
      <c r="D2250" t="n">
        <v>107</v>
      </c>
    </row>
    <row r="2251">
      <c r="A2251" t="n">
        <v>99551</v>
      </c>
      <c r="B2251" t="inlineStr">
        <is>
          <t>佳龍一</t>
        </is>
      </c>
      <c r="C2251" t="n">
        <v>602</v>
      </c>
      <c r="D2251" t="n">
        <v>100</v>
      </c>
    </row>
    <row r="2252">
      <c r="A2252" t="n">
        <v>99552</v>
      </c>
      <c r="B2252" t="inlineStr">
        <is>
          <t>佳龍二</t>
        </is>
      </c>
      <c r="C2252" t="n">
        <v>119</v>
      </c>
      <c r="D2252" t="n">
        <v>98</v>
      </c>
    </row>
    <row r="2253">
      <c r="A2253" t="n">
        <v>99553</v>
      </c>
      <c r="B2253" t="inlineStr">
        <is>
          <t>佳龍三</t>
        </is>
      </c>
      <c r="C2253" t="n">
        <v>118.5</v>
      </c>
      <c r="D2253" t="n">
        <v>98.05</v>
      </c>
    </row>
    <row r="2254">
      <c r="A2254" t="n">
        <v>99581</v>
      </c>
      <c r="B2254" t="inlineStr">
        <is>
          <t>世紀鋼一</t>
        </is>
      </c>
      <c r="C2254" t="n">
        <v>139.1</v>
      </c>
      <c r="D2254" t="n">
        <v>104.35</v>
      </c>
    </row>
    <row r="2255">
      <c r="A2255" t="n">
        <v>99582</v>
      </c>
      <c r="B2255" t="inlineStr">
        <is>
          <t>世紀鋼二</t>
        </is>
      </c>
      <c r="C2255" t="n">
        <v>195</v>
      </c>
      <c r="D2255" t="n">
        <v>102</v>
      </c>
    </row>
    <row r="2256">
      <c r="A2256" t="n">
        <v>99583</v>
      </c>
      <c r="B2256" t="inlineStr">
        <is>
          <t>世紀鋼三</t>
        </is>
      </c>
      <c r="C2256" t="n">
        <v>198</v>
      </c>
      <c r="D2256" t="n">
        <v>81.40000000000001</v>
      </c>
    </row>
    <row r="2257">
      <c r="A2257" t="n">
        <v>99584</v>
      </c>
      <c r="B2257" t="inlineStr">
        <is>
          <t>世紀鋼四</t>
        </is>
      </c>
      <c r="C2257" t="n">
        <v>196</v>
      </c>
      <c r="D2257" t="n">
        <v>102</v>
      </c>
    </row>
    <row r="2258">
      <c r="A2258" t="n">
        <v>99585</v>
      </c>
      <c r="B2258" t="inlineStr">
        <is>
          <t>世紀鋼五</t>
        </is>
      </c>
      <c r="C2258" t="n">
        <v>182</v>
      </c>
      <c r="D2258" t="n">
        <v>104.35</v>
      </c>
    </row>
    <row r="2259">
      <c r="A2259" t="n">
        <v>99586</v>
      </c>
      <c r="B2259" t="inlineStr">
        <is>
          <t>世紀鋼六</t>
        </is>
      </c>
      <c r="C2259" t="n">
        <v>189</v>
      </c>
      <c r="D2259" t="n">
        <v>106</v>
      </c>
    </row>
    <row r="2260">
      <c r="A2260" t="n">
        <v>99587</v>
      </c>
      <c r="B2260" t="inlineStr">
        <is>
          <t>世紀鋼七</t>
        </is>
      </c>
      <c r="C2260" t="n">
        <v>111.8</v>
      </c>
      <c r="D2260" t="n">
        <v>96</v>
      </c>
    </row>
    <row r="2261">
      <c r="A2261" t="n">
        <v>99588</v>
      </c>
      <c r="B2261" t="inlineStr">
        <is>
          <t>世紀鋼八永</t>
        </is>
      </c>
      <c r="C2261" t="n">
        <v>115</v>
      </c>
      <c r="D2261" t="n">
        <v>95.09999999999999</v>
      </c>
      <c r="E2261" t="inlineStr">
        <is>
          <t>L</t>
        </is>
      </c>
      <c r="F2261" s="208" t="n">
        <v>-0.0005254860746191421</v>
      </c>
    </row>
    <row r="2262">
      <c r="A2262" t="n">
        <v>140201</v>
      </c>
      <c r="B2262" t="inlineStr">
        <is>
          <t>遠東新E1永</t>
        </is>
      </c>
      <c r="C2262" t="n">
        <v>113.5</v>
      </c>
      <c r="D2262" t="n">
        <v>82.5</v>
      </c>
    </row>
    <row r="2263">
      <c r="A2263" t="n">
        <v>140202</v>
      </c>
      <c r="B2263" t="inlineStr">
        <is>
          <t>遠東新E2永</t>
        </is>
      </c>
      <c r="C2263" t="n">
        <v>104.4</v>
      </c>
      <c r="D2263" t="n">
        <v>95</v>
      </c>
    </row>
    <row r="2264">
      <c r="A2264" t="n">
        <v>171501</v>
      </c>
      <c r="B2264" t="inlineStr">
        <is>
          <t>萬洲E1</t>
        </is>
      </c>
      <c r="C2264" t="n">
        <v>123</v>
      </c>
      <c r="D2264" t="n">
        <v>102</v>
      </c>
    </row>
    <row r="2265">
      <c r="A2265" t="n">
        <v>233201</v>
      </c>
      <c r="B2265" t="inlineStr">
        <is>
          <t>友訊E1</t>
        </is>
      </c>
      <c r="C2265" t="n">
        <v>141</v>
      </c>
      <c r="D2265" t="n">
        <v>96.8</v>
      </c>
    </row>
    <row r="2266">
      <c r="A2266" t="n">
        <v>235201</v>
      </c>
      <c r="B2266" t="inlineStr">
        <is>
          <t>明基E1</t>
        </is>
      </c>
      <c r="C2266" t="n">
        <v>139.2</v>
      </c>
      <c r="D2266" t="n">
        <v>95.65000000000001</v>
      </c>
    </row>
    <row r="2267">
      <c r="A2267" t="n">
        <v>240601</v>
      </c>
      <c r="B2267" t="inlineStr">
        <is>
          <t>國碩E1</t>
        </is>
      </c>
      <c r="C2267" t="n">
        <v>270</v>
      </c>
      <c r="D2267" t="n">
        <v>100</v>
      </c>
    </row>
    <row r="2268">
      <c r="A2268" t="n">
        <v>240602</v>
      </c>
      <c r="B2268" t="inlineStr">
        <is>
          <t>國碩E2</t>
        </is>
      </c>
      <c r="C2268" t="n">
        <v>136.05</v>
      </c>
      <c r="D2268" t="n">
        <v>102.05</v>
      </c>
    </row>
    <row r="2269">
      <c r="A2269" t="n">
        <v>260301</v>
      </c>
      <c r="B2269" t="inlineStr">
        <is>
          <t>長榮E1</t>
        </is>
      </c>
      <c r="C2269" t="n">
        <v>111.3</v>
      </c>
      <c r="D2269" t="n">
        <v>98.55</v>
      </c>
    </row>
    <row r="2270">
      <c r="A2270" t="n">
        <v>288601</v>
      </c>
      <c r="B2270" t="inlineStr">
        <is>
          <t>兆豐金E1</t>
        </is>
      </c>
      <c r="C2270" t="n">
        <v>102.15</v>
      </c>
      <c r="D2270" t="n">
        <v>96.25</v>
      </c>
    </row>
    <row r="2271">
      <c r="A2271" t="n">
        <v>288602</v>
      </c>
      <c r="B2271" t="inlineStr">
        <is>
          <t>兆豐金E2</t>
        </is>
      </c>
      <c r="C2271" t="n">
        <v>127</v>
      </c>
      <c r="D2271" t="n">
        <v>98</v>
      </c>
    </row>
    <row r="2272">
      <c r="A2272" t="n">
        <v>288701</v>
      </c>
      <c r="B2272" t="inlineStr">
        <is>
          <t>台新金E1</t>
        </is>
      </c>
      <c r="C2272" t="n">
        <v>112.1</v>
      </c>
      <c r="D2272" t="n">
        <v>98.5</v>
      </c>
    </row>
    <row r="2273">
      <c r="A2273" t="n">
        <v>370201</v>
      </c>
      <c r="B2273" t="inlineStr">
        <is>
          <t>大聯大E1</t>
        </is>
      </c>
      <c r="C2273" t="n">
        <v>190</v>
      </c>
      <c r="D2273" t="n">
        <v>104.1</v>
      </c>
      <c r="E2273" t="inlineStr">
        <is>
          <t>H</t>
        </is>
      </c>
      <c r="F2273" s="208" t="n">
        <v>0.217948717948718</v>
      </c>
    </row>
    <row r="2274">
      <c r="A2274" t="n">
        <v>629010</v>
      </c>
      <c r="B2274" t="inlineStr">
        <is>
          <t>良維十</t>
        </is>
      </c>
      <c r="C2274" t="n">
        <v>468</v>
      </c>
      <c r="D2274" t="n">
        <v>117.85</v>
      </c>
      <c r="E2274" t="inlineStr">
        <is>
          <t>H</t>
        </is>
      </c>
      <c r="F2274" s="208" t="n">
        <v>0.127710843373494</v>
      </c>
    </row>
    <row r="2275">
      <c r="A2275" t="n">
        <v>811210</v>
      </c>
      <c r="B2275" t="inlineStr">
        <is>
          <t>至上十</t>
        </is>
      </c>
      <c r="C2275" t="n">
        <v>134</v>
      </c>
      <c r="D2275" t="n">
        <v>92</v>
      </c>
    </row>
    <row r="2276">
      <c r="A2276" t="n">
        <v>81114</v>
      </c>
      <c r="B2276" t="inlineStr">
        <is>
          <t>立�皏|</t>
        </is>
      </c>
      <c r="C2276" t="n">
        <v>134</v>
      </c>
      <c r="D2276" t="n">
        <v>111.1</v>
      </c>
      <c r="E2276" t="inlineStr">
        <is>
          <t>H</t>
        </is>
      </c>
      <c r="F2276" s="208" t="n">
        <v>0.09656301145662845</v>
      </c>
    </row>
    <row r="2277">
      <c r="A2277" t="n">
        <v>84762</v>
      </c>
      <c r="B2277" t="inlineStr">
        <is>
          <t>台境二</t>
        </is>
      </c>
      <c r="C2277" t="n">
        <v>105.5</v>
      </c>
      <c r="D2277" t="n">
        <v>88</v>
      </c>
      <c r="E2277" t="inlineStr">
        <is>
          <t>L</t>
        </is>
      </c>
      <c r="F2277" s="208" t="n">
        <v>-0.1372549019607843</v>
      </c>
    </row>
    <row r="2278">
      <c r="A2278" t="n">
        <v>31352</v>
      </c>
      <c r="B2278" t="inlineStr">
        <is>
          <t>凌航二</t>
        </is>
      </c>
      <c r="C2278" t="n">
        <v>178</v>
      </c>
      <c r="D2278" t="n">
        <v>122.3</v>
      </c>
    </row>
    <row r="2279">
      <c r="A2279" t="n">
        <v>36805</v>
      </c>
      <c r="B2279" t="inlineStr">
        <is>
          <t>家登五</t>
        </is>
      </c>
      <c r="C2279" t="n">
        <v>161</v>
      </c>
      <c r="D2279" t="n">
        <v>110</v>
      </c>
    </row>
    <row r="2280">
      <c r="A2280" t="n">
        <v>36806</v>
      </c>
      <c r="B2280" t="inlineStr">
        <is>
          <t>家登六</t>
        </is>
      </c>
      <c r="C2280" t="n">
        <v>155</v>
      </c>
      <c r="D2280" t="n">
        <v>144</v>
      </c>
    </row>
    <row r="2281">
      <c r="A2281" t="n">
        <v>41238</v>
      </c>
      <c r="B2281" t="inlineStr">
        <is>
          <t>晟德八</t>
        </is>
      </c>
      <c r="C2281" t="n">
        <v>97.90000000000001</v>
      </c>
      <c r="D2281" t="n">
        <v>90</v>
      </c>
    </row>
    <row r="2282">
      <c r="A2282" t="n">
        <v>41239</v>
      </c>
      <c r="B2282" t="inlineStr">
        <is>
          <t>晟德九</t>
        </is>
      </c>
      <c r="C2282" t="n">
        <v>94.40000000000001</v>
      </c>
      <c r="D2282" t="n">
        <v>90.65000000000001</v>
      </c>
    </row>
    <row r="2283">
      <c r="A2283" t="n">
        <v>45031</v>
      </c>
      <c r="B2283" t="inlineStr">
        <is>
          <t>金雨一</t>
        </is>
      </c>
      <c r="C2283" t="n">
        <v>119.2</v>
      </c>
      <c r="D2283" t="n">
        <v>110.1</v>
      </c>
    </row>
    <row r="2284">
      <c r="A2284" t="n">
        <v>47148</v>
      </c>
      <c r="B2284" t="inlineStr">
        <is>
          <t>永捷八</t>
        </is>
      </c>
      <c r="C2284" t="n">
        <v>116.6</v>
      </c>
      <c r="D2284" t="n">
        <v>109.25</v>
      </c>
    </row>
    <row r="2285">
      <c r="A2285" t="n">
        <v>47224</v>
      </c>
      <c r="B2285" t="inlineStr">
        <is>
          <t>國精化四</t>
        </is>
      </c>
      <c r="C2285" t="n">
        <v>136.5</v>
      </c>
      <c r="D2285" t="n">
        <v>112.2</v>
      </c>
    </row>
    <row r="2286">
      <c r="A2286" t="n">
        <v>47491</v>
      </c>
      <c r="B2286" t="inlineStr">
        <is>
          <t>新應材一</t>
        </is>
      </c>
      <c r="C2286" t="n">
        <v>154</v>
      </c>
      <c r="D2286" t="n">
        <v>148.15</v>
      </c>
    </row>
    <row r="2287">
      <c r="A2287" t="n">
        <v>47602</v>
      </c>
      <c r="B2287" t="inlineStr">
        <is>
          <t>勤凱二</t>
        </is>
      </c>
      <c r="C2287" t="n">
        <v>177</v>
      </c>
      <c r="D2287" t="n">
        <v>147.1</v>
      </c>
    </row>
    <row r="2288">
      <c r="A2288" t="n">
        <v>49311</v>
      </c>
      <c r="B2288" t="inlineStr">
        <is>
          <t>新盛力一</t>
        </is>
      </c>
      <c r="C2288" t="n">
        <v>149.4</v>
      </c>
      <c r="D2288" t="n">
        <v>149.4</v>
      </c>
    </row>
    <row r="2289">
      <c r="A2289" t="n">
        <v>52844</v>
      </c>
      <c r="B2289" t="inlineStr">
        <is>
          <t>jpp四KY</t>
        </is>
      </c>
      <c r="C2289" t="n">
        <v>145.9</v>
      </c>
      <c r="D2289" t="n">
        <v>110.55</v>
      </c>
    </row>
    <row r="2290">
      <c r="A2290" t="n">
        <v>52845</v>
      </c>
      <c r="B2290" t="inlineStr">
        <is>
          <t>jpp五KY</t>
        </is>
      </c>
      <c r="C2290" t="n">
        <v>154</v>
      </c>
      <c r="D2290" t="n">
        <v>125.1</v>
      </c>
    </row>
    <row r="2291">
      <c r="A2291" t="n">
        <v>54642</v>
      </c>
      <c r="B2291" t="inlineStr">
        <is>
          <t>霖宏二</t>
        </is>
      </c>
      <c r="C2291" t="n">
        <v>213</v>
      </c>
      <c r="D2291" t="n">
        <v>172</v>
      </c>
    </row>
    <row r="2292">
      <c r="A2292" t="n">
        <v>66034</v>
      </c>
      <c r="B2292" t="inlineStr">
        <is>
          <t>富強鑫四</t>
        </is>
      </c>
      <c r="C2292" t="n">
        <v>114</v>
      </c>
      <c r="D2292" t="n">
        <v>104.5</v>
      </c>
    </row>
    <row r="2293">
      <c r="A2293" t="n">
        <v>68032</v>
      </c>
      <c r="B2293" t="inlineStr">
        <is>
          <t>崑鼎二</t>
        </is>
      </c>
      <c r="C2293" t="n">
        <v>92.59999999999999</v>
      </c>
      <c r="D2293" t="n">
        <v>86.09999999999999</v>
      </c>
    </row>
    <row r="2294">
      <c r="A2294" t="n">
        <v>76101</v>
      </c>
      <c r="B2294" t="inlineStr">
        <is>
          <t>聯友金屬一創</t>
        </is>
      </c>
      <c r="C2294" t="n">
        <v>168</v>
      </c>
      <c r="D2294" t="n">
        <v>122.2</v>
      </c>
    </row>
    <row r="2295">
      <c r="A2295" t="n">
        <v>80746</v>
      </c>
      <c r="B2295" t="inlineStr">
        <is>
          <t>鉅橡六</t>
        </is>
      </c>
      <c r="C2295" t="n">
        <v>160</v>
      </c>
      <c r="D2295" t="n">
        <v>123.9</v>
      </c>
    </row>
    <row r="2296">
      <c r="A2296" t="n">
        <v>82711</v>
      </c>
      <c r="B2296" t="inlineStr">
        <is>
          <t>宇瞻一</t>
        </is>
      </c>
      <c r="C2296" t="n">
        <v>167</v>
      </c>
      <c r="D2296" t="n">
        <v>142</v>
      </c>
    </row>
    <row r="2297">
      <c r="A2297" t="n">
        <v>84624</v>
      </c>
      <c r="B2297" t="inlineStr">
        <is>
          <t>柏文四</t>
        </is>
      </c>
      <c r="C2297" t="n">
        <v>112.25</v>
      </c>
      <c r="D229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2026-04-07T04:04:11Z</dcterms:created>
  <dcterms:modified xmlns:dcterms="http://purl.org/dc/terms/" xmlns:xsi="http://www.w3.org/2001/XMLSchema-instance" xsi:type="dcterms:W3CDTF">2026-05-30T14:00:46Z</dcterms:modified>
</cp:coreProperties>
</file>